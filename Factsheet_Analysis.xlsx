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SUS\OneDrive\Desktop\"/>
    </mc:Choice>
  </mc:AlternateContent>
  <xr:revisionPtr revIDLastSave="0" documentId="8_{C16A5252-DAF9-4037-A9DF-59E710B6CD90}" xr6:coauthVersionLast="47" xr6:coauthVersionMax="47" xr10:uidLastSave="{00000000-0000-0000-0000-000000000000}"/>
  <bookViews>
    <workbookView xWindow="-108" yWindow="-108" windowWidth="23256" windowHeight="12456" activeTab="1" xr2:uid="{C6EE750C-99F3-4711-A2B1-E86208EA4BFA}"/>
  </bookViews>
  <sheets>
    <sheet name="Factsheet" sheetId="1" r:id="rId1"/>
    <sheet name="Portfolio" sheetId="2" r:id="rId2"/>
    <sheet name="SIP Returns" sheetId="10" r:id="rId3"/>
  </sheets>
  <definedNames>
    <definedName name="_xlnm._FilterDatabase" localSheetId="2" hidden="1">'SIP Returns'!$B$38:$I$44</definedName>
    <definedName name="_xlcn.WorksheetConnection_Sheet2A1C971" hidden="1">Portfolio!$A$2:$C$98</definedName>
  </definedNames>
  <calcPr calcId="191029"/>
  <pivotCaches>
    <pivotCache cacheId="0" r:id="rId4"/>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A$1:$C$9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5" i="1" l="1" a="1"/>
  <c r="I85" i="1" s="1"/>
  <c r="J75" i="1"/>
  <c r="K75" i="1"/>
  <c r="L75" i="1"/>
  <c r="M75" i="1"/>
  <c r="I75" i="1"/>
  <c r="J74" i="1"/>
  <c r="K74" i="1"/>
  <c r="L74" i="1"/>
  <c r="M74" i="1"/>
  <c r="I74" i="1"/>
  <c r="L68" i="1"/>
  <c r="J68" i="1"/>
  <c r="I84" i="1" a="1"/>
  <c r="I84" i="1" s="1"/>
  <c r="I83" i="1" a="1"/>
  <c r="I83" i="1" s="1"/>
  <c r="I80" i="1" a="1"/>
  <c r="I80" i="1" s="1"/>
  <c r="I79" i="1" a="1"/>
  <c r="I79" i="1" s="1"/>
  <c r="I78" i="1" a="1"/>
  <c r="I7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tc={B266FA62-5024-48F6-BCA5-84722D8741EB}</author>
    <author>tc={24DFCE85-1B43-4A77-955A-2A86D9B37718}</author>
    <author>ASUS</author>
    <author>tc={8CF804F7-1FD9-49FE-AF63-2735D14CF202}</author>
  </authors>
  <commentList>
    <comment ref="C8" authorId="0" shapeId="0" xr:uid="{B266FA62-5024-48F6-BCA5-84722D8741EB}">
      <text>
        <t>[Threaded comment]
Your version of Excel allows you to read this threaded comment; however, any edits to it will get removed if the file is opened in a newer version of Excel. Learn more: https://go.microsoft.com/fwlink/?linkid=870924
Comment:
    Kindly  check the checklist on googledrive</t>
      </text>
    </comment>
    <comment ref="I8" authorId="1" shapeId="0" xr:uid="{24DFCE85-1B43-4A77-955A-2A86D9B37718}">
      <text>
        <t>[Threaded comment]
Your version of Excel allows you to read this threaded comment; however, any edits to it will get removed if the file is opened in a newer version of Excel. Learn more: https://go.microsoft.com/fwlink/?linkid=870924
Comment:
     Morningstar,RupeeVast, Partciuar funs that u r working already opened,click on portfolio</t>
      </text>
    </comment>
    <comment ref="G10" authorId="2" shapeId="0" xr:uid="{C7864138-A175-4FAB-BB02-AC3DCD41591E}">
      <text>
        <r>
          <rPr>
            <b/>
            <sz val="9"/>
            <color indexed="81"/>
            <rFont val="Tahoma"/>
            <family val="2"/>
          </rPr>
          <t>ASUS:</t>
        </r>
        <r>
          <rPr>
            <sz val="9"/>
            <color indexed="81"/>
            <rFont val="Tahoma"/>
            <family val="2"/>
          </rPr>
          <t xml:space="preserve">
u CAN GET IT ON Morning star,Rupeevest</t>
        </r>
      </text>
    </comment>
    <comment ref="C21" authorId="2" shapeId="0" xr:uid="{4E9E05F3-A261-4D2D-9D40-DFCDD9FCDC27}">
      <text>
        <r>
          <rPr>
            <b/>
            <sz val="9"/>
            <color indexed="81"/>
            <rFont val="Tahoma"/>
            <family val="2"/>
          </rPr>
          <t>ASUS:</t>
        </r>
        <r>
          <rPr>
            <sz val="9"/>
            <color indexed="81"/>
            <rFont val="Tahoma"/>
            <family val="2"/>
          </rPr>
          <t xml:space="preserve">
Type directly on google
investment philosophy with the type of fund ur are looking</t>
        </r>
      </text>
    </comment>
    <comment ref="I67" authorId="3" shapeId="0" xr:uid="{8CF804F7-1FD9-49FE-AF63-2735D14CF202}">
      <text>
        <t>[Threaded comment]
Your version of Excel allows you to read this threaded comment; however, any edits to it will get removed if the file is opened in a newer version of Excel. Learn more: https://go.microsoft.com/fwlink/?linkid=870924
Comment:
    How I did it since NAV was not available in order to find RRI.I cal manually by finding PV,FV from websites then using formula of RRI.</t>
      </text>
    </comment>
    <comment ref="J73" authorId="2" shapeId="0" xr:uid="{ACD9FF27-6A38-4BC2-826D-D65EBCCA3370}">
      <text>
        <r>
          <rPr>
            <b/>
            <sz val="9"/>
            <color indexed="81"/>
            <rFont val="Tahoma"/>
            <family val="2"/>
          </rPr>
          <t>ASUS:</t>
        </r>
        <r>
          <rPr>
            <sz val="9"/>
            <color indexed="81"/>
            <rFont val="Tahoma"/>
            <family val="2"/>
          </rPr>
          <t xml:space="preserve">
Manually
=100000*(1+rate)^No of years
</t>
        </r>
        <r>
          <rPr>
            <b/>
            <sz val="9"/>
            <color indexed="81"/>
            <rFont val="Tahoma"/>
            <family val="2"/>
          </rPr>
          <t>Follow the cal more as it gives value based on current value</t>
        </r>
      </text>
    </comment>
    <comment ref="C74" authorId="2" shapeId="0" xr:uid="{D37901ED-FE5E-4B7F-95A9-E814AC3E29B1}">
      <text>
        <r>
          <rPr>
            <b/>
            <sz val="9"/>
            <color indexed="81"/>
            <rFont val="Tahoma"/>
            <family val="2"/>
          </rPr>
          <t>ASUS:</t>
        </r>
        <r>
          <rPr>
            <sz val="9"/>
            <color indexed="81"/>
            <rFont val="Tahoma"/>
            <family val="2"/>
          </rPr>
          <t xml:space="preserve">
Equity stock doesn’t not have SIP so compare it with ETF(Exchange traded fund) fund as index..
Agr ETF tenue match nahi karraha hai tou lower the yrs..
Apne ko similarity rakhni hai and check karna hai ki how my fund will perform as compare to Index...</t>
        </r>
      </text>
    </comment>
    <comment ref="D77" authorId="2" shapeId="0" xr:uid="{81898D3D-6E6D-42EC-B625-E23A3D4DB6FF}">
      <text>
        <r>
          <rPr>
            <b/>
            <sz val="9"/>
            <color indexed="81"/>
            <rFont val="Tahoma"/>
            <family val="2"/>
          </rPr>
          <t>ASUS:</t>
        </r>
        <r>
          <rPr>
            <sz val="9"/>
            <color indexed="81"/>
            <rFont val="Tahoma"/>
            <family val="2"/>
          </rPr>
          <t xml:space="preserve">
| Point                    | Investing Directly in Nifty 50 Companies                                                          | Investing in Nifty 50 ETF                                                          |
| ------------------------ | ------------------------------------------------------------------------------------------------- | ---------------------------------------------------------------------------------- |
| **What you do**          | You manually buy shares of all 50 companies in the Nifty 50 (like Reliance, TCS, HDFC Bank, etc.) | You buy **one ETF unit**, and it automatically invests in all 50 companies for you |
| **Effort required**      | Very high – you’ll have to track, buy, and rebalance 50 stocks yourself                           | Very low – the ETF manager does it automatically                                   |
| **Cost**                 | You’ll pay brokerage &amp; taxes 50 times + it requires huge capital                                  | Only one transaction cost + low expense ratio (cheap)                              |
| **Minimum money needed** | High (you’ll need lakhs to buy all 50 stocks in the right proportion)                             | Very low (even ₹100–₹500 per ETF unit)                                             |
| **Diversification**      | You’ll get it, but it’s hard to maintain on your own                                              | Instantly diversified (one ETF = all 50 companies)                                 |
| **Rebalancing**          | You must track and rebalance when the index changes                                               | Done automatically by ETF fund managers                                            |
| **Dividends**            | You’ll receive dividends directly from each company                                               | ETF receives them and adjusts in the NAV or distributes                            |
| **Control**              | Full control — you pick, sell, or hold any company                                                | No control — the ETF mirrors whatever is in Nifty 50                               |
| **Skill required**       | High — you must know stocks and weights                                                           | Low — suitable for beginners and passive investors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tc={4CC52378-38CD-42BB-A515-D98299F7CE83}</author>
  </authors>
  <commentList>
    <comment ref="C2" authorId="0" shapeId="0" xr:uid="{4CC52378-38CD-42BB-A515-D98299F7CE83}">
      <text>
        <t xml:space="preserve">[Threaded comment]
Your version of Excel allows you to read this threaded comment; however, any edits to it will get removed if the file is opened in a newer version of Excel. Learn more: https://go.microsoft.com/fwlink/?linkid=870924
Comment:
    A pivot table is a data summarization tool that analyzes and aggregates large datasets from a more extensive table. It allows you to quickly calculate, summarize, and analyze data by reorganizing and "pivoting" it, helping you spot trends and comparisons without writing complex formulas. You can use it to count, average, or sum data and can easily change the view by dragging and dropping fields.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ASUS</author>
    <author>tc={27B91830-7333-4744-B581-D8DF442352DA}</author>
    <author>tc={50CABED2-73FB-470E-9DE4-AD9FE2F4D638}</author>
  </authors>
  <commentList>
    <comment ref="D38" authorId="0" shapeId="0" xr:uid="{8547F9D6-9221-4B11-A1B2-92EA0D8ED69A}">
      <text>
        <r>
          <rPr>
            <b/>
            <sz val="9"/>
            <color indexed="81"/>
            <rFont val="Tahoma"/>
            <family val="2"/>
          </rPr>
          <t>ASUS:</t>
        </r>
        <r>
          <rPr>
            <sz val="9"/>
            <color indexed="81"/>
            <rFont val="Tahoma"/>
            <family val="2"/>
          </rPr>
          <t xml:space="preserve">
this is Nippon Inida Growth Midcap- Dir</t>
        </r>
      </text>
    </comment>
    <comment ref="F38" authorId="1" shapeId="0" xr:uid="{27B91830-7333-4744-B581-D8DF442352DA}">
      <text>
        <t>[Threaded comment]
Your version of Excel allows you to read this threaded comment; however, any edits to it will get removed if the file is opened in a newer version of Excel. Learn more: https://go.microsoft.com/fwlink/?linkid=870924
Comment:
    Here we have taken Motilal Oswal Nifty Midcap 150 Dir ETF for comparison</t>
      </text>
    </comment>
    <comment ref="H38" authorId="0" shapeId="0" xr:uid="{C09A629E-1BF2-41FC-BA2F-612FB27B7D6D}">
      <text>
        <r>
          <rPr>
            <b/>
            <sz val="9"/>
            <color indexed="81"/>
            <rFont val="Tahoma"/>
            <family val="2"/>
          </rPr>
          <t>ASUS:</t>
        </r>
        <r>
          <rPr>
            <sz val="9"/>
            <color indexed="81"/>
            <rFont val="Tahoma"/>
            <family val="2"/>
          </rPr>
          <t xml:space="preserve">
HDFC BSE Sensex Index Dir
For comparison</t>
        </r>
      </text>
    </comment>
    <comment ref="M38" authorId="0" shapeId="0" xr:uid="{43E2B4E7-CCF0-44B6-81DC-58E3A9DFC15D}">
      <text>
        <r>
          <rPr>
            <b/>
            <sz val="9"/>
            <color indexed="81"/>
            <rFont val="Tahoma"/>
            <family val="2"/>
          </rPr>
          <t>ASUS:</t>
        </r>
        <r>
          <rPr>
            <sz val="9"/>
            <color indexed="81"/>
            <rFont val="Tahoma"/>
            <family val="2"/>
          </rPr>
          <t xml:space="preserve">
this is Nippon Inida Growth Midcap- Dir</t>
        </r>
      </text>
    </comment>
    <comment ref="O38" authorId="2" shapeId="0" xr:uid="{50CABED2-73FB-470E-9DE4-AD9FE2F4D638}">
      <text>
        <t>[Threaded comment]
Your version of Excel allows you to read this threaded comment; however, any edits to it will get removed if the file is opened in a newer version of Excel. Learn more: https://go.microsoft.com/fwlink/?linkid=870924
Comment:
    Here we have taken Motilal Oswal Nifty Midcap 150 Dir ETF for comparison</t>
      </text>
    </comment>
    <comment ref="Q38" authorId="0" shapeId="0" xr:uid="{992D617A-B1E6-4BF9-BC9F-30E3AB177538}">
      <text>
        <r>
          <rPr>
            <b/>
            <sz val="9"/>
            <color indexed="81"/>
            <rFont val="Tahoma"/>
            <family val="2"/>
          </rPr>
          <t>ASUS:</t>
        </r>
        <r>
          <rPr>
            <sz val="9"/>
            <color indexed="81"/>
            <rFont val="Tahoma"/>
            <family val="2"/>
          </rPr>
          <t xml:space="preserve">
HDFC BSE Sensex Index Dir
For comparison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D8D8F5-21FD-4B1F-9ED2-9C96DF5A0A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E6115A5-909D-48DC-A5FF-E73722564282}" name="WorksheetConnection_Sheet2!$A$1:$C$97" type="102" refreshedVersion="8" minRefreshableVersion="5">
    <extLst>
      <ext xmlns:x15="http://schemas.microsoft.com/office/spreadsheetml/2010/11/main" uri="{DE250136-89BD-433C-8126-D09CA5730AF9}">
        <x15:connection id="Range" autoDelete="1">
          <x15:rangePr sourceName="_xlcn.WorksheetConnection_Sheet2A1C97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<sst xmlns="http://schemas.openxmlformats.org/spreadsheetml/2006/main" count="343" uniqueCount="193">
  <si>
    <t>Nippon India Growth Fund</t>
  </si>
  <si>
    <t xml:space="preserve"> </t>
  </si>
  <si>
    <t xml:space="preserve">   Analysis Report</t>
  </si>
  <si>
    <t xml:space="preserve">  My Analysis on MFs</t>
  </si>
  <si>
    <t>Inception Date:</t>
  </si>
  <si>
    <t>Asset Class</t>
  </si>
  <si>
    <t>Plan Type:</t>
  </si>
  <si>
    <t>Scheme Type- Makrket Cap:</t>
  </si>
  <si>
    <t>Benchmark:</t>
  </si>
  <si>
    <t>Exit Load:</t>
  </si>
  <si>
    <t>AUM (in Crs) as on 30th April,2024</t>
  </si>
  <si>
    <t>Growth Direct Plan</t>
  </si>
  <si>
    <t>Equity</t>
  </si>
  <si>
    <t>Mid-Cap</t>
  </si>
  <si>
    <t>Nifty Midcap 150-TRI</t>
  </si>
  <si>
    <t>Expense ratio:</t>
  </si>
  <si>
    <t>Fund Manager(s)</t>
  </si>
  <si>
    <t>Rupesh Patel,Sanjay Doshi</t>
  </si>
  <si>
    <t xml:space="preserve"> Basic Fund &amp; Scheme Details</t>
  </si>
  <si>
    <t xml:space="preserve"> Investment Philosophy</t>
  </si>
  <si>
    <t xml:space="preserve">Entry Load </t>
  </si>
  <si>
    <t>Nil</t>
  </si>
  <si>
    <t>Top 10 stock Holdings by the  fund</t>
  </si>
  <si>
    <t xml:space="preserve"> Top sector holdings by the fund</t>
  </si>
  <si>
    <t>Fortis Healthcare Ltd.</t>
  </si>
  <si>
    <t>Healthcare</t>
  </si>
  <si>
    <t>BSE Ltd.</t>
  </si>
  <si>
    <t>Financials</t>
  </si>
  <si>
    <t>Cholamandalam Financial Holdings Ltd.</t>
  </si>
  <si>
    <t>Voltas Ltd.</t>
  </si>
  <si>
    <t>Consumer Durables</t>
  </si>
  <si>
    <t>AU Small Finance Bank Ltd.</t>
  </si>
  <si>
    <t>Max Financial Services Ltd.</t>
  </si>
  <si>
    <t>Persistent Systems Ltd.</t>
  </si>
  <si>
    <t>Technology</t>
  </si>
  <si>
    <t>The Federal Bank Ltd.</t>
  </si>
  <si>
    <t>Power Finance Corporation Ltd.</t>
  </si>
  <si>
    <t>Ashok Leyland Ltd.</t>
  </si>
  <si>
    <t>Automobile and Ancillaries</t>
  </si>
  <si>
    <t>Company</t>
  </si>
  <si>
    <t>Sector</t>
  </si>
  <si>
    <t>Dixon Technologies (India) Ltd.</t>
  </si>
  <si>
    <t>Max Healthcare Institute Ltd.</t>
  </si>
  <si>
    <t>Tube Investments of India Ltd.</t>
  </si>
  <si>
    <t>Bharat Forge Ltd.</t>
  </si>
  <si>
    <t>Alkem Laboratories Ltd.</t>
  </si>
  <si>
    <t>Eternal Ltd.</t>
  </si>
  <si>
    <t>Retail and Other Services</t>
  </si>
  <si>
    <t>Indus Towers Ltd.</t>
  </si>
  <si>
    <t>Media and Communications</t>
  </si>
  <si>
    <t>One97 Communications Ltd.</t>
  </si>
  <si>
    <t>Indian Bank</t>
  </si>
  <si>
    <t>Varun Beverages Ltd.</t>
  </si>
  <si>
    <t>FMCG</t>
  </si>
  <si>
    <t>GE Vernova T&amp;D India Ltd.</t>
  </si>
  <si>
    <t>Capital Goods</t>
  </si>
  <si>
    <t>Prestige Estates Projects Ltd.</t>
  </si>
  <si>
    <t>Construction</t>
  </si>
  <si>
    <t>Gland Pharma Ltd.</t>
  </si>
  <si>
    <t>Vishal Mega Mart Ltd.</t>
  </si>
  <si>
    <t>Supreme Industries Ltd.</t>
  </si>
  <si>
    <t>Cummins India Ltd.</t>
  </si>
  <si>
    <t>APL Apollo Tubes Ltd.</t>
  </si>
  <si>
    <t>Metals</t>
  </si>
  <si>
    <t>ICICI Lombard General Insurance Company Ltd.</t>
  </si>
  <si>
    <t>Lupin Ltd.</t>
  </si>
  <si>
    <t>NTPC Ltd.</t>
  </si>
  <si>
    <t>Energy</t>
  </si>
  <si>
    <t>NLC India Ltd.</t>
  </si>
  <si>
    <t>HDB Financial Services Ltd.</t>
  </si>
  <si>
    <t>Info Edge (India) Ltd.</t>
  </si>
  <si>
    <t>Bharat Heavy Electricals Ltd.</t>
  </si>
  <si>
    <t>The Indian Hotels Company Ltd.</t>
  </si>
  <si>
    <t>Travel</t>
  </si>
  <si>
    <t>Samvardhana Motherson International Ltd.</t>
  </si>
  <si>
    <t>Torrent Power Ltd.</t>
  </si>
  <si>
    <t>Ipca Laboratories Ltd.</t>
  </si>
  <si>
    <t>Jubilant FoodWorks Ltd.</t>
  </si>
  <si>
    <t>Bharat Electronics Ltd.</t>
  </si>
  <si>
    <t>Dalmia Bharat Ltd.</t>
  </si>
  <si>
    <t>HDFC Asset Management Company Ltd.</t>
  </si>
  <si>
    <t>Hyundai Motor India Ltd.</t>
  </si>
  <si>
    <t>NTPC Green Energy Ltd.</t>
  </si>
  <si>
    <t>Page Industries Ltd.</t>
  </si>
  <si>
    <t>Textile</t>
  </si>
  <si>
    <t>FSN E-Commerce Ventures Ltd.</t>
  </si>
  <si>
    <t>Hindustan Petroleum Corporation Ltd.</t>
  </si>
  <si>
    <t>CG Power and Industrial Solutions Ltd.</t>
  </si>
  <si>
    <t>REC Ltd.</t>
  </si>
  <si>
    <t>United Breweries Ltd.</t>
  </si>
  <si>
    <t>Endurance Technologies Ltd.</t>
  </si>
  <si>
    <t>Schaeffler India Ltd.</t>
  </si>
  <si>
    <t>Interglobe Aviation Ltd.</t>
  </si>
  <si>
    <t>Gujarat Gas Ltd.</t>
  </si>
  <si>
    <t>Trent Ltd.</t>
  </si>
  <si>
    <t>Blue Star Ltd.</t>
  </si>
  <si>
    <t>Sundaram Finance Ltd.</t>
  </si>
  <si>
    <t>Union Bank Of India</t>
  </si>
  <si>
    <t>Angel One Ltd.</t>
  </si>
  <si>
    <t>Mphasis Ltd.</t>
  </si>
  <si>
    <t>Mahindra &amp; Mahindra Financial Services Ltd.</t>
  </si>
  <si>
    <t>ZF Commercial Vehicle Control Systems India Ltd.</t>
  </si>
  <si>
    <t>Devyani International Ltd.</t>
  </si>
  <si>
    <t>Container Corporation Of India Ltd.</t>
  </si>
  <si>
    <t>Logistics</t>
  </si>
  <si>
    <t>Astral Ltd.</t>
  </si>
  <si>
    <t>Coromandel International Ltd.</t>
  </si>
  <si>
    <t>Chemicals</t>
  </si>
  <si>
    <t>Hindustan Aeronautics Ltd.</t>
  </si>
  <si>
    <t>Balkrishna Industries Ltd.</t>
  </si>
  <si>
    <t>Gujarat Fluorochemicals Ltd.</t>
  </si>
  <si>
    <t>Bata India Ltd.</t>
  </si>
  <si>
    <t>Prudent Corporate Advisory Services Ltd.</t>
  </si>
  <si>
    <t>Timken India Ltd.</t>
  </si>
  <si>
    <t>JK Cement Ltd.</t>
  </si>
  <si>
    <t>Radico Khaitan Ltd.</t>
  </si>
  <si>
    <t>Bank Of India</t>
  </si>
  <si>
    <t>3M India Ltd.</t>
  </si>
  <si>
    <t>Diversified</t>
  </si>
  <si>
    <t>NMDC Ltd.</t>
  </si>
  <si>
    <t>Crompton Greaves Consumer Electricals Ltd.</t>
  </si>
  <si>
    <t>Sundram Fasteners Ltd.</t>
  </si>
  <si>
    <t>Sanofi Consumer Healthcare India Ltd.</t>
  </si>
  <si>
    <t>Carborundum Universal Ltd.</t>
  </si>
  <si>
    <t>Swiggy Ltd.</t>
  </si>
  <si>
    <t>Glaxosmithkline Pharmaceuticals Ltd.</t>
  </si>
  <si>
    <t>Bayer CropScience Ltd.</t>
  </si>
  <si>
    <t>Indraprastha Gas Ltd.</t>
  </si>
  <si>
    <t>IndusInd Bank Ltd.</t>
  </si>
  <si>
    <t>Sona BLW Precision Forgings Ltd.</t>
  </si>
  <si>
    <t>Restaurant Brands Asia Ltd.</t>
  </si>
  <si>
    <t>Deepak Nitrite Ltd.</t>
  </si>
  <si>
    <t>MTAR Technologies Ltd.</t>
  </si>
  <si>
    <t>Sanofi India Ltd.</t>
  </si>
  <si>
    <t>Hero MotoCorp Ltd.</t>
  </si>
  <si>
    <t>Tata Communications Ltd.</t>
  </si>
  <si>
    <t>Apar Industries Ltd.</t>
  </si>
  <si>
    <t>Globsyn Technologies Limited</t>
  </si>
  <si>
    <t>Total</t>
  </si>
  <si>
    <t>Row Labels</t>
  </si>
  <si>
    <t>Grand Total</t>
  </si>
  <si>
    <t>Allocation%</t>
  </si>
  <si>
    <t xml:space="preserve"> SIP Performance Chart</t>
  </si>
  <si>
    <t>SIP Retuns</t>
  </si>
  <si>
    <t>Tenure</t>
  </si>
  <si>
    <t>Invested Valued</t>
  </si>
  <si>
    <t>Market value</t>
  </si>
  <si>
    <t>XIRR</t>
  </si>
  <si>
    <t>10% Set Up SIP Retuns</t>
  </si>
  <si>
    <t xml:space="preserve"> 10% Step Up SIP Performance Chart</t>
  </si>
  <si>
    <t>SIP amount of Rs 10000 per month</t>
  </si>
  <si>
    <t>SIP amount of Rs 10000 per month with 10% inc. each year</t>
  </si>
  <si>
    <t>Return Analysis</t>
  </si>
  <si>
    <t>Particulars</t>
  </si>
  <si>
    <t>BSE Sensex</t>
  </si>
  <si>
    <t>CAGR%</t>
  </si>
  <si>
    <t>Value of 100000 invested - Lumpsum</t>
  </si>
  <si>
    <t>Value of 10000 invested - Monthly SIP</t>
  </si>
  <si>
    <t>Value of 100000 invested - 10% Step Up SIP</t>
  </si>
  <si>
    <t>MF</t>
  </si>
  <si>
    <t>Midcap ETF</t>
  </si>
  <si>
    <t>Sensex ETF</t>
  </si>
  <si>
    <t>Sensex ETF Return</t>
  </si>
  <si>
    <t>10% SIP vs Sensex ETF</t>
  </si>
  <si>
    <t>Midcap ETF return</t>
  </si>
  <si>
    <t>Risk Analysis</t>
  </si>
  <si>
    <t>BSE 150 MidCap TRI</t>
  </si>
  <si>
    <t>--</t>
  </si>
  <si>
    <t>Rank within category</t>
  </si>
  <si>
    <t>Number of funds in category</t>
  </si>
  <si>
    <t>Equity: Mid Cap</t>
  </si>
  <si>
    <t>Mean Return</t>
  </si>
  <si>
    <t xml:space="preserve">Std Dev </t>
  </si>
  <si>
    <t>Sharpe</t>
  </si>
  <si>
    <t>Beta</t>
  </si>
  <si>
    <t>Alpha</t>
  </si>
  <si>
    <t>Source: Morning Star</t>
  </si>
  <si>
    <t>Portfolio Analysis</t>
  </si>
  <si>
    <t>Portfolio movement in last four Quarters</t>
  </si>
  <si>
    <t>Addition</t>
  </si>
  <si>
    <t>Deletion</t>
  </si>
  <si>
    <t>Blue Star Limited</t>
  </si>
  <si>
    <t>Hyundai Motor India Ltd</t>
  </si>
  <si>
    <t>Fortis Healthcare Limited</t>
  </si>
  <si>
    <t>BSE Limited</t>
  </si>
  <si>
    <t>Cholamandalam Financial Holdings Limited</t>
  </si>
  <si>
    <t>AU Small Finance Bank Limited</t>
  </si>
  <si>
    <t>-</t>
  </si>
  <si>
    <t xml:space="preserve"> Fund Overview</t>
  </si>
  <si>
    <t>Sector Allocation (%)</t>
  </si>
  <si>
    <t>***Allocation reflects equity exposure based on disclosed holdings***</t>
  </si>
  <si>
    <t>Allocation based on latest disclosed portfolio</t>
  </si>
  <si>
    <t xml:space="preserve">                Equity Portfolio Allocation by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</si>
</sst>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quot;%&quot;"/>
    <numFmt numFmtId="165" formatCode="#,##0.00;[Red]#,##0.00"/>
    <numFmt numFmtId="166" formatCode="#,###"/>
    <numFmt numFmtId="167" formatCode="0.0%"/>
    <numFmt numFmtId="170" formatCode="_(* #,##0_);_(* \(#,##0\);_(* &quot;-&quot;??_);_(@_)"/>
  </numFmts>
  <fonts count="41">
    <font>
      <sz val="11"/>
      <color theme="1"/>
      <name val="Aptos Narrow"/>
      <family val="2"/>
      <scheme val="minor"/>
    </font>
    <font>
      <sz val="11"/>
      <color theme="1"/>
      <name val="Aptos Narrow"/>
      <family val="2"/>
      <scheme val="minor"/>
    </font>
    <font>
      <sz val="16"/>
      <color theme="1"/>
      <name val="Century Gothic"/>
      <family val="2"/>
    </font>
    <font>
      <sz val="11"/>
      <color theme="1"/>
      <name val="Century Gothic"/>
      <family val="2"/>
    </font>
    <font>
      <sz val="11"/>
      <color theme="0"/>
      <name val="Century Gothic"/>
      <family val="2"/>
    </font>
    <font>
      <sz val="11"/>
      <color theme="4" tint="-0.499984740745262"/>
      <name val="Century Gothic"/>
      <family val="2"/>
    </font>
    <font>
      <sz val="8"/>
      <color theme="0" tint="-0.249977111117893"/>
      <name val="Century Gothic"/>
      <family val="2"/>
    </font>
    <font>
      <sz val="8"/>
      <color theme="1"/>
      <name val="Century Gothic"/>
      <family val="2"/>
    </font>
    <font>
      <b/>
      <sz val="8"/>
      <color theme="1"/>
      <name val="Century Gothic"/>
      <family val="2"/>
    </font>
    <font>
      <sz val="8"/>
      <name val="Aptos Narrow"/>
      <family val="2"/>
      <scheme val="minor"/>
    </font>
    <font>
      <sz val="9"/>
      <color indexed="81"/>
      <name val="Tahoma"/>
      <family val="2"/>
    </font>
    <font>
      <b/>
      <sz val="9"/>
      <color indexed="81"/>
      <name val="Tahoma"/>
      <family val="2"/>
    </font>
    <font>
      <sz val="10"/>
      <color rgb="FFC00000"/>
      <name val="Century Gothic"/>
      <family val="2"/>
    </font>
    <font>
      <sz val="11"/>
      <color rgb="FFC00000"/>
      <name val="Century Gothic"/>
      <family val="2"/>
    </font>
    <font>
      <b/>
      <sz val="18"/>
      <color rgb="FFC00000"/>
      <name val="Century Gothic"/>
      <family val="2"/>
    </font>
    <font>
      <sz val="7"/>
      <color rgb="FF3B3F42"/>
      <name val="Verdana"/>
      <family val="2"/>
    </font>
    <font>
      <sz val="7"/>
      <color rgb="FF3B3F42"/>
      <name val="Verdana"/>
      <family val="2"/>
    </font>
    <font>
      <u/>
      <sz val="11"/>
      <color theme="10"/>
      <name val="Aptos Narrow"/>
      <family val="2"/>
      <scheme val="minor"/>
    </font>
    <font>
      <b/>
      <sz val="8"/>
      <color theme="0"/>
      <name val="Verdana"/>
      <family val="2"/>
    </font>
    <font>
      <u/>
      <sz val="11"/>
      <color theme="3" tint="0.249977111117893"/>
      <name val="Aptos Narrow"/>
      <family val="2"/>
      <scheme val="minor"/>
    </font>
    <font>
      <sz val="10"/>
      <color theme="1"/>
      <name val="Century Gothic"/>
      <family val="2"/>
    </font>
    <font>
      <sz val="10"/>
      <color theme="1"/>
      <name val="Aptos Narrow"/>
      <family val="2"/>
      <scheme val="minor"/>
    </font>
    <font>
      <b/>
      <sz val="10"/>
      <color theme="1"/>
      <name val="Century Gothic"/>
      <family val="2"/>
    </font>
    <font>
      <sz val="10"/>
      <color rgb="FF000000"/>
      <name val="Arial"/>
      <family val="2"/>
    </font>
    <font>
      <sz val="10"/>
      <color theme="1"/>
      <name val="Aptos Narrow"/>
      <family val="2"/>
      <scheme val="minor"/>
    </font>
    <font>
      <sz val="10"/>
      <color theme="1"/>
      <name val="IBM-Plex-Sans-Mono-Bold"/>
    </font>
    <font>
      <sz val="9"/>
      <color theme="1"/>
      <name val="Century Gothic"/>
      <family val="2"/>
    </font>
    <font>
      <sz val="9"/>
      <color theme="0" tint="-0.14999847407452621"/>
      <name val="Century Gothic"/>
      <family val="2"/>
    </font>
    <font>
      <sz val="9"/>
      <color theme="1"/>
      <name val="Aptos Narrow"/>
      <family val="2"/>
      <scheme val="minor"/>
    </font>
    <font>
      <b/>
      <sz val="11"/>
      <color theme="1"/>
      <name val="Aptos Narrow"/>
      <family val="2"/>
      <scheme val="minor"/>
    </font>
    <font>
      <b/>
      <sz val="8"/>
      <color theme="2" tint="-9.9978637043366805E-2"/>
      <name val="Century Gothic"/>
      <family val="2"/>
    </font>
    <font>
      <b/>
      <sz val="11"/>
      <color theme="1"/>
      <name val="Century Gothic"/>
      <family val="2"/>
    </font>
    <font>
      <b/>
      <sz val="9"/>
      <color theme="1"/>
      <name val="Century Gothic"/>
      <family val="2"/>
    </font>
    <font>
      <sz val="9"/>
      <color theme="0"/>
      <name val="Century Gothic"/>
      <family val="2"/>
    </font>
    <font>
      <sz val="8"/>
      <color theme="2" tint="-9.9978637043366805E-2"/>
      <name val="Century Gothic"/>
      <family val="2"/>
    </font>
    <font>
      <sz val="8"/>
      <color theme="0"/>
      <name val="Century Gothic"/>
      <family val="2"/>
    </font>
    <font>
      <b/>
      <sz val="9"/>
      <color rgb="FF000000"/>
      <name val="Century Gothic"/>
      <family val="2"/>
    </font>
    <font>
      <sz val="11"/>
      <color theme="1"/>
      <name val="Aptos Narrow"/>
      <family val="2"/>
    </font>
    <font>
      <u/>
      <sz val="11"/>
      <color theme="4"/>
      <name val="Aptos Narrow"/>
      <family val="2"/>
      <scheme val="minor"/>
    </font>
    <font>
      <sz val="9"/>
      <color theme="1"/>
      <name val="Abadi"/>
      <family val="2"/>
    </font>
    <font>
      <b/>
      <sz val="9"/>
      <color theme="1"/>
      <name val="Calibri"/>
      <family val="2"/>
    </font>
  </fonts>
  <fills count="10">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1F2F2"/>
        <bgColor indexed="64"/>
      </patternFill>
    </fill>
    <fill>
      <patternFill patternType="solid">
        <fgColor rgb="FFF9F9F9"/>
        <bgColor indexed="64"/>
      </patternFill>
    </fill>
    <fill>
      <patternFill patternType="solid">
        <fgColor theme="3" tint="0.249977111117893"/>
        <bgColor indexed="64"/>
      </patternFill>
    </fill>
    <fill>
      <patternFill patternType="solid">
        <fgColor theme="3" tint="0.749992370372631"/>
        <bgColor indexed="64"/>
      </patternFill>
    </fill>
  </fills>
  <borders count="15">
    <border>
      <left/>
      <right/>
      <top/>
      <bottom/>
      <diagonal/>
    </border>
    <border>
      <left/>
      <right/>
      <top/>
      <bottom style="thin">
        <color auto="1"/>
      </bottom>
      <diagonal/>
    </border>
    <border>
      <left/>
      <right/>
      <top style="dotted">
        <color theme="0" tint="-0.24994659260841701"/>
      </top>
      <bottom style="dotted">
        <color theme="0" tint="-0.24994659260841701"/>
      </bottom>
      <diagonal/>
    </border>
    <border>
      <left/>
      <right/>
      <top style="thin">
        <color rgb="FFFF0000"/>
      </top>
      <bottom style="thin">
        <color rgb="FFFF0000"/>
      </bottom>
      <diagonal/>
    </border>
    <border>
      <left/>
      <right/>
      <top style="medium">
        <color rgb="FFC0C1C1"/>
      </top>
      <bottom style="medium">
        <color rgb="FFC0C1C1"/>
      </bottom>
      <diagonal/>
    </border>
    <border>
      <left/>
      <right/>
      <top style="medium">
        <color rgb="FFC0C1C1"/>
      </top>
      <bottom/>
      <diagonal/>
    </border>
    <border>
      <left/>
      <right/>
      <top style="hair">
        <color theme="1"/>
      </top>
      <bottom style="hair">
        <color theme="1"/>
      </bottom>
      <diagonal/>
    </border>
    <border>
      <left/>
      <right/>
      <top style="hair">
        <color auto="1"/>
      </top>
      <bottom style="hair">
        <color auto="1"/>
      </bottom>
      <diagonal/>
    </border>
    <border>
      <left/>
      <right/>
      <top style="hair">
        <color theme="1"/>
      </top>
      <bottom/>
      <diagonal/>
    </border>
    <border>
      <left/>
      <right/>
      <top style="thin">
        <color auto="1"/>
      </top>
      <bottom style="thin">
        <color auto="1"/>
      </bottom>
      <diagonal/>
    </border>
    <border>
      <left/>
      <right/>
      <top style="medium">
        <color rgb="FFC00000"/>
      </top>
      <bottom style="medium">
        <color rgb="FFC00000"/>
      </bottom>
      <diagonal/>
    </border>
    <border>
      <left/>
      <right/>
      <top style="medium">
        <color rgb="FFC00000"/>
      </top>
      <bottom/>
      <diagonal/>
    </border>
    <border>
      <left/>
      <right/>
      <top style="dotted">
        <color auto="1"/>
      </top>
      <bottom style="dotted">
        <color auto="1"/>
      </bottom>
      <diagonal/>
    </border>
    <border>
      <left/>
      <right/>
      <top style="hair">
        <color auto="1"/>
      </top>
      <bottom style="thin">
        <color indexed="64"/>
      </bottom>
      <diagonal/>
    </border>
    <border>
      <left/>
      <right/>
      <top/>
      <bottom style="medium">
        <color rgb="FFC0C1C1"/>
      </bottom>
      <diagonal/>
    </border>
  </borders>
  <cellStyleXfs count="4">
    <xf numFmtId="0" fontId="0" fillId="0" borderId="0"/>
    <xf numFmtId="9" fontId="1" fillId="0" borderId="0" applyFont="0" applyFill="0" applyBorder="0" applyAlignment="0" applyProtection="0"/>
    <xf numFmtId="0" fontId="17" fillId="0" borderId="0" applyNumberFormat="0" applyFill="0" applyBorder="0" applyAlignment="0" applyProtection="0"/>
    <xf numFmtId="43" fontId="1" fillId="0" borderId="0" applyFont="0" applyFill="0" applyBorder="0" applyAlignment="0" applyProtection="0"/>
  </cellStyleXfs>
  <cellXfs count="142">
    <xf numFmtId="0" fontId="0" fillId="0" borderId="0" xfId="0"/>
    <xf numFmtId="0" fontId="3" fillId="0" borderId="0" xfId="0" applyFont="1"/>
    <xf numFmtId="0" fontId="3" fillId="0" borderId="0" xfId="0" applyFont="1" applyAlignment="1">
      <alignment horizontal="center"/>
    </xf>
    <xf numFmtId="0" fontId="3" fillId="2" borderId="0" xfId="0" applyFont="1" applyFill="1"/>
    <xf numFmtId="0" fontId="3" fillId="3" borderId="0" xfId="0" applyFont="1" applyFill="1"/>
    <xf numFmtId="0" fontId="3" fillId="4" borderId="0" xfId="0" applyFont="1" applyFill="1"/>
    <xf numFmtId="0" fontId="4" fillId="5" borderId="0" xfId="0" applyFont="1" applyFill="1"/>
    <xf numFmtId="0" fontId="3" fillId="0" borderId="0" xfId="0" applyFont="1" applyAlignment="1">
      <alignment horizontal="center" wrapText="1"/>
    </xf>
    <xf numFmtId="0" fontId="5" fillId="3" borderId="0" xfId="0" applyFont="1" applyFill="1"/>
    <xf numFmtId="0" fontId="5" fillId="2" borderId="0" xfId="0" applyFont="1" applyFill="1"/>
    <xf numFmtId="0" fontId="5" fillId="4" borderId="0" xfId="0" applyFont="1" applyFill="1"/>
    <xf numFmtId="0" fontId="5" fillId="0" borderId="0" xfId="0" applyFont="1"/>
    <xf numFmtId="0" fontId="6" fillId="0" borderId="0" xfId="0" applyFont="1"/>
    <xf numFmtId="0" fontId="7" fillId="0" borderId="0" xfId="0" applyFont="1"/>
    <xf numFmtId="0" fontId="12" fillId="0" borderId="0" xfId="0" applyFont="1"/>
    <xf numFmtId="0" fontId="13" fillId="5" borderId="0" xfId="0" applyFont="1" applyFill="1"/>
    <xf numFmtId="0" fontId="3" fillId="5" borderId="0" xfId="0" applyFont="1" applyFill="1"/>
    <xf numFmtId="0" fontId="0" fillId="5" borderId="0" xfId="0" applyFill="1"/>
    <xf numFmtId="164" fontId="4" fillId="5" borderId="0" xfId="0" applyNumberFormat="1" applyFont="1" applyFill="1"/>
    <xf numFmtId="0" fontId="0" fillId="0" borderId="0" xfId="0" applyAlignment="1">
      <alignment horizontal="center"/>
    </xf>
    <xf numFmtId="0" fontId="15" fillId="7" borderId="5" xfId="0" applyFont="1" applyFill="1" applyBorder="1" applyAlignment="1">
      <alignment horizontal="center" wrapText="1"/>
    </xf>
    <xf numFmtId="0" fontId="15" fillId="6" borderId="5" xfId="0" applyFont="1" applyFill="1" applyBorder="1" applyAlignment="1">
      <alignment horizontal="center" wrapText="1"/>
    </xf>
    <xf numFmtId="0" fontId="16" fillId="6" borderId="4" xfId="0" applyFont="1" applyFill="1" applyBorder="1" applyAlignment="1">
      <alignment horizontal="center" wrapText="1"/>
    </xf>
    <xf numFmtId="0" fontId="17" fillId="7" borderId="5" xfId="2" applyFill="1" applyBorder="1" applyAlignment="1">
      <alignment horizontal="left" vertical="center" wrapText="1"/>
    </xf>
    <xf numFmtId="0" fontId="17" fillId="6" borderId="5" xfId="2" applyFill="1" applyBorder="1" applyAlignment="1">
      <alignment horizontal="left" vertical="center" wrapText="1"/>
    </xf>
    <xf numFmtId="0" fontId="15" fillId="7" borderId="5" xfId="0" applyFont="1" applyFill="1" applyBorder="1" applyAlignment="1">
      <alignment horizontal="left" vertical="center" wrapText="1"/>
    </xf>
    <xf numFmtId="0" fontId="16" fillId="6" borderId="4"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15" fillId="7" borderId="5"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0" fillId="0" borderId="0" xfId="0" applyAlignment="1">
      <alignment horizontal="center" vertical="center"/>
    </xf>
    <xf numFmtId="0" fontId="0" fillId="0" borderId="0" xfId="0" pivotButton="1"/>
    <xf numFmtId="0" fontId="18" fillId="8" borderId="4" xfId="0" applyFont="1" applyFill="1" applyBorder="1" applyAlignment="1">
      <alignment horizontal="left" vertical="center" wrapText="1"/>
    </xf>
    <xf numFmtId="0" fontId="18" fillId="8" borderId="4" xfId="0" applyFont="1" applyFill="1" applyBorder="1" applyAlignment="1">
      <alignment horizontal="center" wrapText="1"/>
    </xf>
    <xf numFmtId="0" fontId="18" fillId="8" borderId="4" xfId="0" applyFont="1" applyFill="1" applyBorder="1" applyAlignment="1">
      <alignment horizontal="center" vertical="center" wrapText="1"/>
    </xf>
    <xf numFmtId="0" fontId="19" fillId="7" borderId="5" xfId="2" applyFont="1" applyFill="1" applyBorder="1" applyAlignment="1">
      <alignment horizontal="left" vertical="center" wrapText="1"/>
    </xf>
    <xf numFmtId="0" fontId="19" fillId="6" borderId="5" xfId="2" applyFont="1" applyFill="1" applyBorder="1" applyAlignment="1">
      <alignment horizontal="left" vertical="center" wrapText="1"/>
    </xf>
    <xf numFmtId="164" fontId="0" fillId="0" borderId="0" xfId="0" applyNumberFormat="1"/>
    <xf numFmtId="0" fontId="0" fillId="0" borderId="0" xfId="0" applyAlignment="1">
      <alignment horizontal="center" vertical="top"/>
    </xf>
    <xf numFmtId="0" fontId="20" fillId="0" borderId="0" xfId="0" applyFont="1" applyAlignment="1">
      <alignment horizontal="center" vertical="top"/>
    </xf>
    <xf numFmtId="0" fontId="21" fillId="0" borderId="0" xfId="0" applyFont="1"/>
    <xf numFmtId="0" fontId="22" fillId="0" borderId="0" xfId="0" applyFont="1" applyAlignment="1">
      <alignment horizontal="center" vertical="top"/>
    </xf>
    <xf numFmtId="165" fontId="21" fillId="0" borderId="0" xfId="0" applyNumberFormat="1" applyFont="1"/>
    <xf numFmtId="0" fontId="22" fillId="9" borderId="0" xfId="0" applyFont="1" applyFill="1" applyAlignment="1">
      <alignment horizontal="center" vertical="top"/>
    </xf>
    <xf numFmtId="10" fontId="21" fillId="0" borderId="7" xfId="0" applyNumberFormat="1" applyFont="1" applyBorder="1"/>
    <xf numFmtId="165" fontId="21" fillId="5" borderId="8" xfId="0" applyNumberFormat="1" applyFont="1" applyFill="1" applyBorder="1"/>
    <xf numFmtId="10" fontId="21" fillId="0" borderId="6" xfId="0" applyNumberFormat="1" applyFont="1" applyBorder="1">
      <extLst>
        <ext xmlns:xfpb="http://schemas.microsoft.com/office/spreadsheetml/2022/featurepropertybag" uri="{C7286773-470A-42A8-94C5-96B5CB345126}">
          <xfpb:xfComplement i="0"/>
        </ext>
      </extLst>
    </xf>
    <xf numFmtId="166" fontId="24" fillId="5" borderId="7" xfId="0" applyNumberFormat="1" applyFont="1" applyFill="1" applyBorder="1" applyAlignment="1">
      <alignment horizontal="center" vertical="center" wrapText="1"/>
    </xf>
    <xf numFmtId="166" fontId="21" fillId="0" borderId="7" xfId="0" applyNumberFormat="1" applyFont="1" applyBorder="1" applyAlignment="1">
      <alignment horizontal="center"/>
    </xf>
    <xf numFmtId="10" fontId="21" fillId="0" borderId="6" xfId="1" applyNumberFormat="1" applyFont="1" applyBorder="1" applyAlignment="1">
      <extLst>
        <ext xmlns:xfpb="http://schemas.microsoft.com/office/spreadsheetml/2022/featurepropertybag" uri="{C7286773-470A-42A8-94C5-96B5CB345126}">
          <xfpb:xfComplement i="0"/>
        </ext>
      </extLst>
    </xf>
    <xf numFmtId="0" fontId="26" fillId="0" borderId="0" xfId="0" applyFont="1"/>
    <xf numFmtId="0" fontId="26" fillId="3" borderId="0" xfId="0" applyFont="1" applyFill="1"/>
    <xf numFmtId="164" fontId="26" fillId="3" borderId="0" xfId="0" applyNumberFormat="1" applyFont="1" applyFill="1"/>
    <xf numFmtId="0" fontId="26" fillId="0" borderId="2" xfId="0" applyFont="1" applyBorder="1"/>
    <xf numFmtId="15" fontId="26" fillId="0" borderId="2" xfId="0" applyNumberFormat="1" applyFont="1" applyBorder="1"/>
    <xf numFmtId="0" fontId="26" fillId="5" borderId="0" xfId="0" applyFont="1" applyFill="1"/>
    <xf numFmtId="0" fontId="27" fillId="5" borderId="0" xfId="0" applyFont="1" applyFill="1"/>
    <xf numFmtId="164" fontId="26" fillId="5" borderId="0" xfId="0" applyNumberFormat="1" applyFont="1" applyFill="1"/>
    <xf numFmtId="3" fontId="26" fillId="0" borderId="2" xfId="0" applyNumberFormat="1" applyFont="1" applyBorder="1"/>
    <xf numFmtId="3" fontId="26" fillId="0" borderId="0" xfId="0" applyNumberFormat="1" applyFont="1"/>
    <xf numFmtId="0" fontId="28" fillId="3" borderId="0" xfId="0" applyFont="1" applyFill="1"/>
    <xf numFmtId="3" fontId="26" fillId="0" borderId="2" xfId="0" applyNumberFormat="1" applyFont="1" applyBorder="1" applyAlignment="1">
      <alignment horizontal="right"/>
    </xf>
    <xf numFmtId="0" fontId="28" fillId="5" borderId="0" xfId="0" applyFont="1" applyFill="1"/>
    <xf numFmtId="0" fontId="26" fillId="0" borderId="2" xfId="0" applyFont="1" applyBorder="1" applyAlignment="1">
      <alignment vertical="top"/>
    </xf>
    <xf numFmtId="10" fontId="26" fillId="0" borderId="2" xfId="1" applyNumberFormat="1" applyFont="1" applyBorder="1"/>
    <xf numFmtId="10" fontId="26" fillId="0" borderId="2" xfId="1" applyNumberFormat="1" applyFont="1" applyBorder="1" applyAlignment="1">
      <alignment horizontal="right"/>
    </xf>
    <xf numFmtId="0" fontId="26" fillId="0" borderId="2" xfId="0" applyFont="1" applyBorder="1" applyAlignment="1">
      <alignment horizontal="right"/>
    </xf>
    <xf numFmtId="0" fontId="26" fillId="0" borderId="0" xfId="0" applyFont="1" applyAlignment="1">
      <alignment horizontal="right"/>
    </xf>
    <xf numFmtId="0" fontId="21" fillId="0" borderId="6" xfId="0" applyFont="1" applyBorder="1" applyAlignment="1">
      <alignment horizontal="center"/>
      <extLst>
        <ext xmlns:xfpb="http://schemas.microsoft.com/office/spreadsheetml/2022/featurepropertybag" uri="{C7286773-470A-42A8-94C5-96B5CB345126}">
          <xfpb:xfComplement i="0"/>
        </ext>
      </extLst>
    </xf>
    <xf numFmtId="1" fontId="21" fillId="0" borderId="6" xfId="0" applyNumberFormat="1" applyFont="1" applyBorder="1" applyAlignment="1">
      <alignment horizontal="center"/>
      <extLst>
        <ext xmlns:xfpb="http://schemas.microsoft.com/office/spreadsheetml/2022/featurepropertybag" uri="{C7286773-470A-42A8-94C5-96B5CB345126}">
          <xfpb:xfComplement i="0"/>
        </ext>
      </extLst>
    </xf>
    <xf numFmtId="1" fontId="23" fillId="0" borderId="6" xfId="0" applyNumberFormat="1" applyFont="1" applyBorder="1" applyAlignment="1">
      <alignment horizontal="center"/>
      <extLst>
        <ext xmlns:xfpb="http://schemas.microsoft.com/office/spreadsheetml/2022/featurepropertybag" uri="{C7286773-470A-42A8-94C5-96B5CB345126}">
          <xfpb:xfComplement i="0"/>
        </ext>
      </extLst>
    </xf>
    <xf numFmtId="1" fontId="0" fillId="0" borderId="6" xfId="0" applyNumberFormat="1" applyBorder="1" applyAlignment="1">
      <alignment horizontal="center"/>
      <extLst>
        <ext xmlns:xfpb="http://schemas.microsoft.com/office/spreadsheetml/2022/featurepropertybag" uri="{C7286773-470A-42A8-94C5-96B5CB345126}">
          <xfpb:xfComplement i="0"/>
        </ext>
      </extLst>
    </xf>
    <xf numFmtId="1" fontId="25" fillId="0" borderId="6" xfId="0" applyNumberFormat="1" applyFont="1" applyBorder="1" applyAlignment="1">
      <alignment horizontal="center" vertical="center" wrapText="1"/>
      <extLst>
        <ext xmlns:xfpb="http://schemas.microsoft.com/office/spreadsheetml/2022/featurepropertybag" uri="{C7286773-470A-42A8-94C5-96B5CB345126}">
          <xfpb:xfComplement i="0"/>
        </ext>
      </extLst>
    </xf>
    <xf numFmtId="0" fontId="3" fillId="0" borderId="0" xfId="0" applyFont="1" applyAlignment="1">
      <alignment horizontal="left"/>
    </xf>
    <xf numFmtId="0" fontId="30" fillId="0" borderId="0" xfId="0" applyFont="1" applyAlignment="1">
      <alignment horizontal="left"/>
    </xf>
    <xf numFmtId="0" fontId="3" fillId="0" borderId="9" xfId="0" applyFont="1" applyBorder="1"/>
    <xf numFmtId="0" fontId="0" fillId="0" borderId="9" xfId="0" applyBorder="1"/>
    <xf numFmtId="0" fontId="3" fillId="0" borderId="10" xfId="0" applyFont="1" applyBorder="1"/>
    <xf numFmtId="0" fontId="3" fillId="0" borderId="11" xfId="0" applyFont="1" applyBorder="1"/>
    <xf numFmtId="0" fontId="4" fillId="3" borderId="0" xfId="0" applyFont="1" applyFill="1"/>
    <xf numFmtId="0" fontId="32" fillId="0" borderId="10" xfId="0" applyFont="1" applyBorder="1"/>
    <xf numFmtId="0" fontId="31" fillId="0" borderId="0" xfId="0" applyFont="1"/>
    <xf numFmtId="0" fontId="3" fillId="0" borderId="1" xfId="0" applyFont="1" applyBorder="1"/>
    <xf numFmtId="0" fontId="3" fillId="0" borderId="1" xfId="0" applyFont="1" applyBorder="1" applyAlignment="1">
      <alignment horizontal="center"/>
    </xf>
    <xf numFmtId="0" fontId="32" fillId="0" borderId="0" xfId="0" applyFont="1"/>
    <xf numFmtId="0" fontId="13" fillId="0" borderId="0" xfId="0" applyFont="1"/>
    <xf numFmtId="0" fontId="22" fillId="9" borderId="0" xfId="0" applyFont="1" applyFill="1" applyAlignment="1">
      <alignment horizontal="right" vertical="top"/>
    </xf>
    <xf numFmtId="0" fontId="0" fillId="0" borderId="7" xfId="0" applyBorder="1"/>
    <xf numFmtId="10" fontId="0" fillId="0" borderId="7" xfId="0" applyNumberFormat="1" applyBorder="1"/>
    <xf numFmtId="0" fontId="0" fillId="0" borderId="7" xfId="0" applyBorder="1" applyAlignment="1">
      <alignment horizontal="center"/>
    </xf>
    <xf numFmtId="10" fontId="0" fillId="0" borderId="7" xfId="0" applyNumberFormat="1" applyBorder="1" applyAlignment="1">
      <alignment horizontal="center"/>
    </xf>
    <xf numFmtId="0" fontId="33" fillId="5" borderId="0" xfId="0" applyFont="1" applyFill="1"/>
    <xf numFmtId="0" fontId="26" fillId="0" borderId="0" xfId="0" applyFont="1" applyAlignment="1">
      <alignment horizontal="center" vertical="center"/>
    </xf>
    <xf numFmtId="0" fontId="33" fillId="5" borderId="0" xfId="0" applyFont="1" applyFill="1" applyAlignment="1">
      <alignment horizontal="center" vertical="center"/>
    </xf>
    <xf numFmtId="0" fontId="29" fillId="0" borderId="0" xfId="0" applyFont="1"/>
    <xf numFmtId="0" fontId="0" fillId="0" borderId="12" xfId="0" applyBorder="1" applyAlignment="1">
      <alignment horizontal="right"/>
    </xf>
    <xf numFmtId="10" fontId="0" fillId="0" borderId="12" xfId="0" applyNumberFormat="1" applyBorder="1"/>
    <xf numFmtId="0" fontId="0" fillId="0" borderId="12" xfId="0" applyBorder="1"/>
    <xf numFmtId="1" fontId="21" fillId="0" borderId="12" xfId="0" applyNumberFormat="1" applyFont="1" applyBorder="1" applyAlignment="1">
      <alignment horizontal="right"/>
      <extLst>
        <ext xmlns:xfpb="http://schemas.microsoft.com/office/spreadsheetml/2022/featurepropertybag" uri="{C7286773-470A-42A8-94C5-96B5CB345126}">
          <xfpb:xfComplement i="0"/>
        </ext>
      </extLst>
    </xf>
    <xf numFmtId="166" fontId="21" fillId="0" borderId="13" xfId="0" applyNumberFormat="1" applyFont="1" applyBorder="1" applyAlignment="1">
      <alignment horizontal="center"/>
    </xf>
    <xf numFmtId="0" fontId="31" fillId="0" borderId="0" xfId="0" applyFont="1" applyAlignment="1">
      <alignment horizontal="center"/>
    </xf>
    <xf numFmtId="10" fontId="26" fillId="3" borderId="12" xfId="0" applyNumberFormat="1" applyFont="1" applyFill="1" applyBorder="1" applyAlignment="1">
      <alignment horizontal="center" vertical="center"/>
    </xf>
    <xf numFmtId="167" fontId="26" fillId="3" borderId="12" xfId="1" applyNumberFormat="1" applyFont="1" applyFill="1" applyBorder="1" applyAlignment="1">
      <alignment horizontal="center" vertical="center"/>
    </xf>
    <xf numFmtId="10" fontId="26" fillId="0" borderId="12" xfId="0" applyNumberFormat="1" applyFont="1" applyBorder="1" applyAlignment="1">
      <alignment horizontal="center" vertical="center"/>
    </xf>
    <xf numFmtId="167" fontId="26" fillId="0" borderId="12" xfId="1" applyNumberFormat="1" applyFont="1" applyBorder="1" applyAlignment="1">
      <alignment horizontal="center" vertical="center"/>
    </xf>
    <xf numFmtId="0" fontId="26" fillId="3" borderId="12" xfId="0" applyFont="1" applyFill="1" applyBorder="1"/>
    <xf numFmtId="0" fontId="26" fillId="0" borderId="12" xfId="0" applyFont="1" applyBorder="1"/>
    <xf numFmtId="0" fontId="3" fillId="3" borderId="12" xfId="0" applyFont="1" applyFill="1" applyBorder="1"/>
    <xf numFmtId="0" fontId="3" fillId="0" borderId="12" xfId="0" applyFont="1" applyBorder="1"/>
    <xf numFmtId="0" fontId="26" fillId="0" borderId="0" xfId="0" applyFont="1" applyAlignment="1">
      <alignment horizontal="right" vertical="top"/>
    </xf>
    <xf numFmtId="0" fontId="32" fillId="0" borderId="0" xfId="0" applyFont="1" applyAlignment="1">
      <alignment horizontal="right" vertical="top"/>
    </xf>
    <xf numFmtId="0" fontId="8" fillId="0" borderId="0" xfId="0" applyFont="1" applyAlignment="1">
      <alignment horizontal="right" vertical="top" wrapText="1"/>
    </xf>
    <xf numFmtId="0" fontId="8" fillId="0" borderId="0" xfId="0" applyFont="1" applyAlignment="1">
      <alignment horizontal="right" vertical="top"/>
    </xf>
    <xf numFmtId="0" fontId="34" fillId="0" borderId="0" xfId="0" applyFont="1"/>
    <xf numFmtId="0" fontId="7" fillId="3" borderId="0" xfId="0" applyFont="1" applyFill="1"/>
    <xf numFmtId="0" fontId="35" fillId="5" borderId="0" xfId="0" applyFont="1" applyFill="1"/>
    <xf numFmtId="0" fontId="7" fillId="2" borderId="0" xfId="0" applyFont="1" applyFill="1"/>
    <xf numFmtId="0" fontId="7" fillId="4" borderId="0" xfId="0" applyFont="1" applyFill="1"/>
    <xf numFmtId="0" fontId="36" fillId="0" borderId="0" xfId="0" applyFont="1"/>
    <xf numFmtId="0" fontId="26" fillId="0" borderId="10" xfId="0" applyFont="1" applyBorder="1"/>
    <xf numFmtId="10" fontId="37" fillId="0" borderId="0" xfId="1" applyNumberFormat="1" applyFont="1" applyFill="1" applyBorder="1"/>
    <xf numFmtId="0" fontId="8" fillId="0" borderId="9" xfId="0" applyFont="1" applyBorder="1" applyAlignment="1">
      <alignment horizontal="left"/>
    </xf>
    <xf numFmtId="0" fontId="3" fillId="0" borderId="9" xfId="0" applyFont="1" applyBorder="1" applyAlignment="1">
      <alignment horizontal="left"/>
    </xf>
    <xf numFmtId="0" fontId="14"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8" fillId="0" borderId="3" xfId="0" applyFont="1" applyBorder="1" applyAlignment="1">
      <alignment horizontal="left"/>
    </xf>
    <xf numFmtId="0" fontId="3" fillId="0" borderId="3" xfId="0" applyFont="1" applyBorder="1" applyAlignment="1">
      <alignment horizontal="left"/>
    </xf>
    <xf numFmtId="0" fontId="38" fillId="7" borderId="5" xfId="2" applyFont="1" applyFill="1" applyBorder="1" applyAlignment="1">
      <alignment horizontal="left" vertical="center" wrapText="1"/>
    </xf>
    <xf numFmtId="10" fontId="26" fillId="3" borderId="12" xfId="1" applyNumberFormat="1" applyFont="1" applyFill="1" applyBorder="1" applyAlignment="1">
      <alignment horizontal="center" vertical="center"/>
    </xf>
    <xf numFmtId="170" fontId="26" fillId="3" borderId="12" xfId="3" applyNumberFormat="1" applyFont="1" applyFill="1" applyBorder="1"/>
    <xf numFmtId="170" fontId="26" fillId="0" borderId="12" xfId="3" applyNumberFormat="1" applyFont="1" applyBorder="1"/>
    <xf numFmtId="170" fontId="26" fillId="0" borderId="0" xfId="3" applyNumberFormat="1" applyFont="1" applyAlignment="1">
      <alignment horizontal="center" vertical="center"/>
    </xf>
    <xf numFmtId="170" fontId="26" fillId="3" borderId="12" xfId="3" applyNumberFormat="1" applyFont="1" applyFill="1" applyBorder="1" applyAlignment="1">
      <alignment horizontal="center" vertical="center"/>
    </xf>
    <xf numFmtId="170" fontId="26" fillId="0" borderId="12" xfId="3" applyNumberFormat="1" applyFont="1" applyBorder="1" applyAlignment="1">
      <alignment horizontal="center" vertical="center"/>
    </xf>
    <xf numFmtId="0" fontId="0" fillId="0" borderId="0" xfId="0"/>
    <xf numFmtId="0" fontId="39" fillId="0" borderId="0" xfId="0" applyFont="1"/>
    <xf numFmtId="0" fontId="0" fillId="0" borderId="14" xfId="0" applyBorder="1" applyAlignment="1">
      <alignment horizontal="center" vertical="center"/>
    </xf>
    <xf numFmtId="0" fontId="40" fillId="0" borderId="14" xfId="0" applyFont="1" applyBorder="1" applyAlignment="1">
      <alignment horizontal="center" vertical="center"/>
    </xf>
    <xf numFmtId="0" fontId="40" fillId="0" borderId="0" xfId="0" applyFont="1" applyAlignment="1">
      <alignment horizontal="left" vertical="center"/>
    </xf>
  </cellXfs>
  <cellStyles count="4">
    <cellStyle name="Comma" xfId="3" builtinId="3"/>
    <cellStyle name="Hyperlink" xfId="2" builtinId="8"/>
    <cellStyle name="Normal" xfId="0" builtinId="0"/>
    <cellStyle name="Percent" xfId="1" builtinId="5"/>
  </cellStyles>
  <dxfs count="4">
    <dxf>
      <numFmt numFmtId="164" formatCode="0.00&quot;%&quot;"/>
    </dxf>
    <dxf>
      <numFmt numFmtId="164" formatCode="0.00&quot;%&quot;"/>
    </dxf>
    <dxf>
      <numFmt numFmtId="164" formatCode="0.00&quot;%&quot;"/>
    </dxf>
    <dxf>
      <numFmt numFmtId="164" formatCode="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10/relationships/person" Target="persons/person.xml"/><Relationship Id="rId5" Type="http://schemas.openxmlformats.org/officeDocument/2006/relationships/theme" Target="theme/theme1.xml"/><Relationship Id="rId10"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[Factsheet_Analysis.xlsx]Portfolio!PivotTable4</c:name>
    <c:fmtId val="45"/>
  </c:pivotSource>
  <c:chart>
    <c:autoTitleDeleted val="1"/>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s>
    <c:plotArea>
      <c:layout/>
      <c:doughnutChart>
        <c:varyColors val="1"/>
        <c:ser>
          <c:idx val="0"/>
          <c:order val="0"/>
          <c:tx>
            <c:strRef>
              <c:f>Portfolio!$E$2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D95-4FC6-A7C7-5C7E8EA538B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D95-4FC6-A7C7-5C7E8EA538B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D95-4FC6-A7C7-5C7E8EA538B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D95-4FC6-A7C7-5C7E8EA538B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7D95-4FC6-A7C7-5C7E8EA538B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7D95-4FC6-A7C7-5C7E8EA538B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7D95-4FC6-A7C7-5C7E8EA538B9}"/>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7D95-4FC6-A7C7-5C7E8EA538B9}"/>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7D95-4FC6-A7C7-5C7E8EA538B9}"/>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7D95-4FC6-A7C7-5C7E8EA538B9}"/>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7D95-4FC6-A7C7-5C7E8EA538B9}"/>
              </c:ext>
            </c:extLst>
          </c:dPt>
          <c:dPt>
            <c:idx val="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7-7D95-4FC6-A7C7-5C7E8EA538B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7D95-4FC6-A7C7-5C7E8EA538B9}"/>
              </c:ext>
            </c:extLst>
          </c:dPt>
          <c:dPt>
            <c:idx val="1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B-7D95-4FC6-A7C7-5C7E8EA538B9}"/>
              </c:ext>
            </c:extLst>
          </c:dPt>
          <c:dPt>
            <c:idx val="1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D-7D95-4FC6-A7C7-5C7E8EA538B9}"/>
              </c:ext>
            </c:extLst>
          </c:dPt>
          <c:dPt>
            <c:idx val="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1F-7D95-4FC6-A7C7-5C7E8EA538B9}"/>
              </c:ext>
            </c:extLst>
          </c:dPt>
          <c:dPt>
            <c:idx val="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1-7D95-4FC6-A7C7-5C7E8EA538B9}"/>
              </c:ext>
            </c:extLst>
          </c:dPt>
          <c:cat>
            <c:strRef>
              <c:f>Portfolio!$D$3:$D$20</c:f>
              <c:strCache>
                <c:ptCount val="17"/>
                <c:pt idx="0">
                  <c:v>Financials</c:v>
                </c:pt>
                <c:pt idx="1">
                  <c:v>Automobile and Ancillaries</c:v>
                </c:pt>
                <c:pt idx="2">
                  <c:v>Healthcare</c:v>
                </c:pt>
                <c:pt idx="3">
                  <c:v>Consumer Durables</c:v>
                </c:pt>
                <c:pt idx="4">
                  <c:v>Energy</c:v>
                </c:pt>
                <c:pt idx="5">
                  <c:v>Capital Goods</c:v>
                </c:pt>
                <c:pt idx="6">
                  <c:v>Retail and Other Services</c:v>
                </c:pt>
                <c:pt idx="7">
                  <c:v>FMCG</c:v>
                </c:pt>
                <c:pt idx="8">
                  <c:v>Technology</c:v>
                </c:pt>
                <c:pt idx="9">
                  <c:v>Construction</c:v>
                </c:pt>
                <c:pt idx="10">
                  <c:v>Travel</c:v>
                </c:pt>
                <c:pt idx="11">
                  <c:v>Chemicals</c:v>
                </c:pt>
                <c:pt idx="12">
                  <c:v>Media and Communications</c:v>
                </c:pt>
                <c:pt idx="13">
                  <c:v>Metals</c:v>
                </c:pt>
                <c:pt idx="14">
                  <c:v>Textile</c:v>
                </c:pt>
                <c:pt idx="15">
                  <c:v>Logistics</c:v>
                </c:pt>
                <c:pt idx="16">
                  <c:v>Diversified</c:v>
                </c:pt>
              </c:strCache>
            </c:strRef>
          </c:cat>
          <c:val>
            <c:numRef>
              <c:f>Portfolio!$E$3:$E$20</c:f>
              <c:numCache>
                <c:formatCode>0.00"%"</c:formatCode>
                <c:ptCount val="17"/>
                <c:pt idx="0">
                  <c:v>25.189999999999998</c:v>
                </c:pt>
                <c:pt idx="1">
                  <c:v>13.310000000000002</c:v>
                </c:pt>
                <c:pt idx="2">
                  <c:v>11.500000000000002</c:v>
                </c:pt>
                <c:pt idx="3">
                  <c:v>7.330000000000001</c:v>
                </c:pt>
                <c:pt idx="4">
                  <c:v>7.07</c:v>
                </c:pt>
                <c:pt idx="5">
                  <c:v>6.0299999999999994</c:v>
                </c:pt>
                <c:pt idx="6">
                  <c:v>5.3999999999999995</c:v>
                </c:pt>
                <c:pt idx="7">
                  <c:v>5.1700000000000008</c:v>
                </c:pt>
                <c:pt idx="8">
                  <c:v>3.88</c:v>
                </c:pt>
                <c:pt idx="9">
                  <c:v>2.93</c:v>
                </c:pt>
                <c:pt idx="10">
                  <c:v>1.9500000000000002</c:v>
                </c:pt>
                <c:pt idx="11">
                  <c:v>1.91</c:v>
                </c:pt>
                <c:pt idx="12">
                  <c:v>1.81</c:v>
                </c:pt>
                <c:pt idx="13">
                  <c:v>1.29</c:v>
                </c:pt>
                <c:pt idx="14">
                  <c:v>0.99</c:v>
                </c:pt>
                <c:pt idx="15">
                  <c:v>0.7</c:v>
                </c:pt>
                <c:pt idx="16">
                  <c:v>0.45</c:v>
                </c:pt>
              </c:numCache>
            </c:numRef>
          </c:val>
          <c:extLst>
            <c:ext xmlns:c16="http://schemas.microsoft.com/office/drawing/2014/chart" uri="{C3380CC4-5D6E-409C-BE32-E72D297353CC}">
              <c16:uniqueId val="{00000022-7D95-4FC6-A7C7-5C7E8EA538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58092738407698"/>
          <c:y val="5.0925925925925923E-2"/>
          <c:w val="0.75287970253718284"/>
          <c:h val="0.73614173228346458"/>
        </c:manualLayout>
      </c:layout>
      <c:barChart>
        <c:barDir val="col"/>
        <c:grouping val="clustered"/>
        <c:varyColors val="0"/>
        <c:ser>
          <c:idx val="1"/>
          <c:order val="1"/>
          <c:tx>
            <c:strRef>
              <c:f>'SIP Returns'!$C$3</c:f>
              <c:strCache>
                <c:ptCount val="1"/>
                <c:pt idx="0">
                  <c:v>Invested Valued</c:v>
                </c:pt>
              </c:strCache>
            </c:strRef>
          </c:tx>
          <c:spPr>
            <a:solidFill>
              <a:schemeClr val="accent1">
                <a:lumMod val="60000"/>
                <a:lumOff val="40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Returns'!$C$4:$C$9</c:f>
              <c:numCache>
                <c:formatCode>0</c:formatCode>
                <c:ptCount val="6"/>
                <c:pt idx="0">
                  <c:v>1200000</c:v>
                </c:pt>
                <c:pt idx="1">
                  <c:v>840000</c:v>
                </c:pt>
                <c:pt idx="2">
                  <c:v>600000</c:v>
                </c:pt>
                <c:pt idx="3">
                  <c:v>360000</c:v>
                </c:pt>
                <c:pt idx="4">
                  <c:v>240000</c:v>
                </c:pt>
                <c:pt idx="5">
                  <c:v>120000</c:v>
                </c:pt>
              </c:numCache>
            </c:numRef>
          </c:val>
          <c:extLst>
            <c:ext xmlns:c16="http://schemas.microsoft.com/office/drawing/2014/chart" uri="{C3380CC4-5D6E-409C-BE32-E72D297353CC}">
              <c16:uniqueId val="{00000000-046C-405B-94A9-9057DEF0C41D}"/>
            </c:ext>
          </c:extLst>
        </c:ser>
        <c:ser>
          <c:idx val="2"/>
          <c:order val="2"/>
          <c:tx>
            <c:strRef>
              <c:f>'SIP Returns'!$D$3</c:f>
              <c:strCache>
                <c:ptCount val="1"/>
                <c:pt idx="0">
                  <c:v>Market value</c:v>
                </c:pt>
              </c:strCache>
            </c:strRef>
          </c:tx>
          <c:spPr>
            <a:solidFill>
              <a:schemeClr val="tx2">
                <a:lumMod val="75000"/>
                <a:lumOff val="25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Returns'!$D$4:$D$9</c:f>
              <c:numCache>
                <c:formatCode>0</c:formatCode>
                <c:ptCount val="6"/>
                <c:pt idx="0">
                  <c:v>3867115</c:v>
                </c:pt>
                <c:pt idx="1">
                  <c:v>2122776</c:v>
                </c:pt>
                <c:pt idx="2">
                  <c:v>1110963</c:v>
                </c:pt>
                <c:pt idx="3">
                  <c:v>510191</c:v>
                </c:pt>
                <c:pt idx="4">
                  <c:v>280942</c:v>
                </c:pt>
                <c:pt idx="5">
                  <c:v>129463</c:v>
                </c:pt>
              </c:numCache>
            </c:numRef>
          </c:val>
          <c:extLst>
            <c:ext xmlns:c16="http://schemas.microsoft.com/office/drawing/2014/chart" uri="{C3380CC4-5D6E-409C-BE32-E72D297353CC}">
              <c16:uniqueId val="{00000001-046C-405B-94A9-9057DEF0C41D}"/>
            </c:ext>
          </c:extLst>
        </c:ser>
        <c:dLbls>
          <c:showLegendKey val="0"/>
          <c:showVal val="0"/>
          <c:showCatName val="0"/>
          <c:showSerName val="0"/>
          <c:showPercent val="0"/>
          <c:showBubbleSize val="0"/>
        </c:dLbls>
        <c:gapWidth val="219"/>
        <c:axId val="1540455232"/>
        <c:axId val="1540455712"/>
        <c:extLst>
          <c:ext xmlns:c15="http://schemas.microsoft.com/office/drawing/2012/chart" uri="{02D57815-91ED-43cb-92C2-25804820EDAC}">
            <c15:filteredBarSeries>
              <c15:ser>
                <c:idx val="0"/>
                <c:order val="0"/>
                <c:tx>
                  <c:strRef>
                    <c:extLst>
                      <c:ext uri="{02D57815-91ED-43cb-92C2-25804820EDAC}">
                        <c15:formulaRef>
                          <c15:sqref>'SIP Returns'!$B$3</c15:sqref>
                        </c15:formulaRef>
                      </c:ext>
                    </c:extLst>
                    <c:strCache>
                      <c:ptCount val="1"/>
                      <c:pt idx="0">
                        <c:v>Tenure</c:v>
                      </c:pt>
                    </c:strCache>
                  </c:strRef>
                </c:tx>
                <c:spPr>
                  <a:solidFill>
                    <a:schemeClr val="accent1"/>
                  </a:solidFill>
                  <a:ln>
                    <a:noFill/>
                  </a:ln>
                  <a:effectLst/>
                </c:spPr>
                <c:invertIfNegative val="0"/>
                <c:cat>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cat>
                <c:val>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8-046C-405B-94A9-9057DEF0C41D}"/>
                  </c:ext>
                </c:extLst>
              </c15:ser>
            </c15:filteredBarSeries>
          </c:ext>
        </c:extLst>
      </c:barChart>
      <c:lineChart>
        <c:grouping val="standard"/>
        <c:varyColors val="0"/>
        <c:ser>
          <c:idx val="3"/>
          <c:order val="3"/>
          <c:tx>
            <c:strRef>
              <c:f>'SIP Returns'!$E$3</c:f>
              <c:strCache>
                <c:ptCount val="1"/>
                <c:pt idx="0">
                  <c:v>XIRR</c:v>
                </c:pt>
              </c:strCache>
            </c:strRef>
          </c:tx>
          <c:spPr>
            <a:ln w="15875" cap="rnd">
              <a:solidFill>
                <a:schemeClr val="accent4"/>
              </a:solidFill>
              <a:round/>
            </a:ln>
            <a:effectLst/>
          </c:spPr>
          <c:marker>
            <c:symbol val="circle"/>
            <c:size val="4"/>
            <c:spPr>
              <a:solidFill>
                <a:schemeClr val="accent4"/>
              </a:solidFill>
              <a:ln w="0">
                <a:solidFill>
                  <a:schemeClr val="accent4"/>
                </a:solidFill>
              </a:ln>
              <a:effectLst/>
            </c:spPr>
          </c:marker>
          <c:dLbls>
            <c:dLbl>
              <c:idx val="0"/>
              <c:layout>
                <c:manualLayout>
                  <c:x val="3.055555555555550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6C-405B-94A9-9057DEF0C41D}"/>
                </c:ext>
              </c:extLst>
            </c:dLbl>
            <c:dLbl>
              <c:idx val="1"/>
              <c:layout>
                <c:manualLayout>
                  <c:x val="-2.777777777777777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C-405B-94A9-9057DEF0C41D}"/>
                </c:ext>
              </c:extLst>
            </c:dLbl>
            <c:dLbl>
              <c:idx val="2"/>
              <c:layout>
                <c:manualLayout>
                  <c:x val="-5.555555555555555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C-405B-94A9-9057DEF0C41D}"/>
                </c:ext>
              </c:extLst>
            </c:dLbl>
            <c:dLbl>
              <c:idx val="4"/>
              <c:layout>
                <c:manualLayout>
                  <c:x val="-0.1222222222222222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C-405B-94A9-9057DEF0C41D}"/>
                </c:ext>
              </c:extLst>
            </c:dLbl>
            <c:dLbl>
              <c:idx val="5"/>
              <c:layout>
                <c:manualLayout>
                  <c:x val="-9.166666666666666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C-405B-94A9-9057DEF0C4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Returns'!$E$4:$E$9</c:f>
              <c:numCache>
                <c:formatCode>0.00%</c:formatCode>
                <c:ptCount val="6"/>
                <c:pt idx="0">
                  <c:v>0.22159999999999999</c:v>
                </c:pt>
                <c:pt idx="1">
                  <c:v>0.26069999999999999</c:v>
                </c:pt>
                <c:pt idx="2">
                  <c:v>0.2492</c:v>
                </c:pt>
                <c:pt idx="3">
                  <c:v>0.2402</c:v>
                </c:pt>
                <c:pt idx="4">
                  <c:v>0.15959999999999999</c:v>
                </c:pt>
                <c:pt idx="5">
                  <c:v>0.14960000000000001</c:v>
                </c:pt>
              </c:numCache>
            </c:numRef>
          </c:val>
          <c:smooth val="0"/>
          <c:extLst>
            <c:ext xmlns:c16="http://schemas.microsoft.com/office/drawing/2014/chart" uri="{C3380CC4-5D6E-409C-BE32-E72D297353CC}">
              <c16:uniqueId val="{00000007-046C-405B-94A9-9057DEF0C41D}"/>
            </c:ext>
          </c:extLst>
        </c:ser>
        <c:dLbls>
          <c:showLegendKey val="0"/>
          <c:showVal val="1"/>
          <c:showCatName val="0"/>
          <c:showSerName val="0"/>
          <c:showPercent val="0"/>
          <c:showBubbleSize val="0"/>
        </c:dLbls>
        <c:marker val="1"/>
        <c:smooth val="0"/>
        <c:axId val="1540457152"/>
        <c:axId val="1540466272"/>
      </c:lineChart>
      <c:catAx>
        <c:axId val="154045523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712"/>
        <c:crosses val="autoZero"/>
        <c:auto val="1"/>
        <c:lblAlgn val="ctr"/>
        <c:lblOffset val="100"/>
        <c:noMultiLvlLbl val="0"/>
      </c:catAx>
      <c:valAx>
        <c:axId val="1540455712"/>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232"/>
        <c:crosses val="autoZero"/>
        <c:crossBetween val="between"/>
      </c:valAx>
      <c:valAx>
        <c:axId val="1540466272"/>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7152"/>
        <c:crosses val="max"/>
        <c:crossBetween val="between"/>
      </c:valAx>
      <c:catAx>
        <c:axId val="1540457152"/>
        <c:scaling>
          <c:orientation val="minMax"/>
        </c:scaling>
        <c:delete val="1"/>
        <c:axPos val="b"/>
        <c:majorTickMark val="out"/>
        <c:minorTickMark val="none"/>
        <c:tickLblPos val="nextTo"/>
        <c:crossAx val="1540466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853709702081214"/>
          <c:y val="4.4273975203223848E-2"/>
          <c:w val="0.75287970253718284"/>
          <c:h val="0.73614173228346458"/>
        </c:manualLayout>
      </c:layout>
      <c:barChart>
        <c:barDir val="col"/>
        <c:grouping val="clustered"/>
        <c:varyColors val="0"/>
        <c:ser>
          <c:idx val="1"/>
          <c:order val="1"/>
          <c:tx>
            <c:strRef>
              <c:f>'SIP Returns'!$C$22</c:f>
              <c:strCache>
                <c:ptCount val="1"/>
                <c:pt idx="0">
                  <c:v>Invested Valued</c:v>
                </c:pt>
              </c:strCache>
            </c:strRef>
          </c:tx>
          <c:spPr>
            <a:solidFill>
              <a:schemeClr val="accent1">
                <a:lumMod val="60000"/>
                <a:lumOff val="40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Returns'!$C$23:$C$28</c:f>
              <c:numCache>
                <c:formatCode>#,###</c:formatCode>
                <c:ptCount val="6"/>
                <c:pt idx="0">
                  <c:v>5402898</c:v>
                </c:pt>
                <c:pt idx="1">
                  <c:v>1138461</c:v>
                </c:pt>
                <c:pt idx="2">
                  <c:v>732612</c:v>
                </c:pt>
                <c:pt idx="3">
                  <c:v>397200</c:v>
                </c:pt>
                <c:pt idx="4">
                  <c:v>252000</c:v>
                </c:pt>
                <c:pt idx="5">
                  <c:v>120000</c:v>
                </c:pt>
              </c:numCache>
            </c:numRef>
          </c:val>
          <c:extLst>
            <c:ext xmlns:c16="http://schemas.microsoft.com/office/drawing/2014/chart" uri="{C3380CC4-5D6E-409C-BE32-E72D297353CC}">
              <c16:uniqueId val="{00000000-A5AE-459C-8CFC-34396CFF6B60}"/>
            </c:ext>
          </c:extLst>
        </c:ser>
        <c:ser>
          <c:idx val="2"/>
          <c:order val="2"/>
          <c:tx>
            <c:strRef>
              <c:f>'SIP Returns'!$D$22</c:f>
              <c:strCache>
                <c:ptCount val="1"/>
                <c:pt idx="0">
                  <c:v>Market value</c:v>
                </c:pt>
              </c:strCache>
            </c:strRef>
          </c:tx>
          <c:spPr>
            <a:solidFill>
              <a:schemeClr val="tx2">
                <a:lumMod val="75000"/>
                <a:lumOff val="25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Returns'!$D$23:$D$28</c:f>
              <c:numCache>
                <c:formatCode>#,###</c:formatCode>
                <c:ptCount val="6"/>
                <c:pt idx="0">
                  <c:v>1912491</c:v>
                </c:pt>
                <c:pt idx="1">
                  <c:v>2630108</c:v>
                </c:pt>
                <c:pt idx="2">
                  <c:v>1295483</c:v>
                </c:pt>
                <c:pt idx="3">
                  <c:v>552526</c:v>
                </c:pt>
                <c:pt idx="4">
                  <c:v>293888</c:v>
                </c:pt>
                <c:pt idx="5">
                  <c:v>129463</c:v>
                </c:pt>
              </c:numCache>
            </c:numRef>
          </c:val>
          <c:extLst>
            <c:ext xmlns:c16="http://schemas.microsoft.com/office/drawing/2014/chart" uri="{C3380CC4-5D6E-409C-BE32-E72D297353CC}">
              <c16:uniqueId val="{00000001-A5AE-459C-8CFC-34396CFF6B60}"/>
            </c:ext>
          </c:extLst>
        </c:ser>
        <c:dLbls>
          <c:showLegendKey val="0"/>
          <c:showVal val="1"/>
          <c:showCatName val="0"/>
          <c:showSerName val="0"/>
          <c:showPercent val="0"/>
          <c:showBubbleSize val="0"/>
        </c:dLbls>
        <c:gapWidth val="219"/>
        <c:axId val="33576704"/>
        <c:axId val="33577184"/>
        <c:extLst>
          <c:ext xmlns:c15="http://schemas.microsoft.com/office/drawing/2012/chart" uri="{02D57815-91ED-43cb-92C2-25804820EDAC}">
            <c15:filteredBarSeries>
              <c15:ser>
                <c:idx val="0"/>
                <c:order val="0"/>
                <c:tx>
                  <c:strRef>
                    <c:extLst>
                      <c:ext uri="{02D57815-91ED-43cb-92C2-25804820EDAC}">
                        <c15:formulaRef>
                          <c15:sqref>'SIP Returns'!$B$22</c15:sqref>
                        </c15:formulaRef>
                      </c:ext>
                    </c:extLst>
                    <c:strCache>
                      <c:ptCount val="1"/>
                      <c:pt idx="0">
                        <c:v>Tenure</c:v>
                      </c:pt>
                    </c:strCache>
                  </c:strRef>
                </c:tx>
                <c:spPr>
                  <a:solidFill>
                    <a:schemeClr val="accent1"/>
                  </a:solidFill>
                  <a:ln>
                    <a:noFill/>
                  </a:ln>
                  <a:effectLst/>
                </c:spPr>
                <c:invertIfNegative val="0"/>
                <c:dLbls>
                  <c:delete val="1"/>
                </c:dLbls>
                <c:cat>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cat>
                <c:val>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8-A5AE-459C-8CFC-34396CFF6B60}"/>
                  </c:ext>
                </c:extLst>
              </c15:ser>
            </c15:filteredBarSeries>
          </c:ext>
        </c:extLst>
      </c:barChart>
      <c:lineChart>
        <c:grouping val="standard"/>
        <c:varyColors val="0"/>
        <c:ser>
          <c:idx val="3"/>
          <c:order val="3"/>
          <c:tx>
            <c:strRef>
              <c:f>'SIP Returns'!$E$22</c:f>
              <c:strCache>
                <c:ptCount val="1"/>
                <c:pt idx="0">
                  <c:v>XIRR</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dLbls>
            <c:dLbl>
              <c:idx val="0"/>
              <c:layout>
                <c:manualLayout>
                  <c:x val="1.1111111111111059E-2"/>
                  <c:y val="2.77777777777777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AE-459C-8CFC-34396CFF6B60}"/>
                </c:ext>
              </c:extLst>
            </c:dLbl>
            <c:dLbl>
              <c:idx val="1"/>
              <c:layout>
                <c:manualLayout>
                  <c:x val="-4.1666666666666664E-2"/>
                  <c:y val="-4.6296296296296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AE-459C-8CFC-34396CFF6B60}"/>
                </c:ext>
              </c:extLst>
            </c:dLbl>
            <c:dLbl>
              <c:idx val="2"/>
              <c:layout>
                <c:manualLayout>
                  <c:x val="-3.888888888888889E-2"/>
                  <c:y val="6.85704715232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AE-459C-8CFC-34396CFF6B60}"/>
                </c:ext>
              </c:extLst>
            </c:dLbl>
            <c:dLbl>
              <c:idx val="4"/>
              <c:layout>
                <c:manualLayout>
                  <c:x val="-4.1666666666666664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AE-459C-8CFC-34396CFF6B60}"/>
                </c:ext>
              </c:extLst>
            </c:dLbl>
            <c:dLbl>
              <c:idx val="5"/>
              <c:layout>
                <c:manualLayout>
                  <c:x val="-6.2068965517241378E-2"/>
                  <c:y val="-4.9535441456399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AE-459C-8CFC-34396CFF6B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Returns'!$E$23:$E$28</c:f>
              <c:numCache>
                <c:formatCode>0.00%</c:formatCode>
                <c:ptCount val="6"/>
                <c:pt idx="0">
                  <c:v>0.22620000000000001</c:v>
                </c:pt>
                <c:pt idx="1">
                  <c:v>0.26</c:v>
                </c:pt>
                <c:pt idx="2">
                  <c:v>0.2487</c:v>
                </c:pt>
                <c:pt idx="3">
                  <c:v>0.2387</c:v>
                </c:pt>
                <c:pt idx="4">
                  <c:v>0.1661</c:v>
                </c:pt>
                <c:pt idx="5">
                  <c:v>0.1772</c:v>
                </c:pt>
              </c:numCache>
            </c:numRef>
          </c:val>
          <c:smooth val="0"/>
          <c:extLst>
            <c:ext xmlns:c16="http://schemas.microsoft.com/office/drawing/2014/chart" uri="{C3380CC4-5D6E-409C-BE32-E72D297353CC}">
              <c16:uniqueId val="{00000007-A5AE-459C-8CFC-34396CFF6B60}"/>
            </c:ext>
          </c:extLst>
        </c:ser>
        <c:dLbls>
          <c:showLegendKey val="0"/>
          <c:showVal val="1"/>
          <c:showCatName val="0"/>
          <c:showSerName val="0"/>
          <c:showPercent val="0"/>
          <c:showBubbleSize val="0"/>
        </c:dLbls>
        <c:marker val="1"/>
        <c:smooth val="0"/>
        <c:axId val="33583424"/>
        <c:axId val="33582944"/>
      </c:lineChart>
      <c:catAx>
        <c:axId val="33576704"/>
        <c:scaling>
          <c:orientation val="minMax"/>
        </c:scaling>
        <c:delete val="0"/>
        <c:axPos val="b"/>
        <c:numFmt formatCode="0&quot;Y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7184"/>
        <c:crosses val="autoZero"/>
        <c:auto val="1"/>
        <c:lblAlgn val="ctr"/>
        <c:lblOffset val="100"/>
        <c:noMultiLvlLbl val="0"/>
      </c:catAx>
      <c:valAx>
        <c:axId val="33577184"/>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6704"/>
        <c:crosses val="autoZero"/>
        <c:crossBetween val="between"/>
      </c:valAx>
      <c:valAx>
        <c:axId val="33582944"/>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3424"/>
        <c:crosses val="max"/>
        <c:crossBetween val="between"/>
      </c:valAx>
      <c:catAx>
        <c:axId val="33583424"/>
        <c:scaling>
          <c:orientation val="minMax"/>
        </c:scaling>
        <c:delete val="1"/>
        <c:axPos val="b"/>
        <c:majorTickMark val="out"/>
        <c:minorTickMark val="none"/>
        <c:tickLblPos val="nextTo"/>
        <c:crossAx val="33582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[Factsheet_Analysis.xlsx]Portfolio!PivotTable4</c:name>
    <c:fmtId val="4"/>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Portfolio!$E$2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Portfolio!$D$3:$D$20</c:f>
              <c:strCache>
                <c:ptCount val="17"/>
                <c:pt idx="0">
                  <c:v>Financials</c:v>
                </c:pt>
                <c:pt idx="1">
                  <c:v>Automobile and Ancillaries</c:v>
                </c:pt>
                <c:pt idx="2">
                  <c:v>Healthcare</c:v>
                </c:pt>
                <c:pt idx="3">
                  <c:v>Consumer Durables</c:v>
                </c:pt>
                <c:pt idx="4">
                  <c:v>Energy</c:v>
                </c:pt>
                <c:pt idx="5">
                  <c:v>Capital Goods</c:v>
                </c:pt>
                <c:pt idx="6">
                  <c:v>Retail and Other Services</c:v>
                </c:pt>
                <c:pt idx="7">
                  <c:v>FMCG</c:v>
                </c:pt>
                <c:pt idx="8">
                  <c:v>Technology</c:v>
                </c:pt>
                <c:pt idx="9">
                  <c:v>Construction</c:v>
                </c:pt>
                <c:pt idx="10">
                  <c:v>Travel</c:v>
                </c:pt>
                <c:pt idx="11">
                  <c:v>Chemicals</c:v>
                </c:pt>
                <c:pt idx="12">
                  <c:v>Media and Communications</c:v>
                </c:pt>
                <c:pt idx="13">
                  <c:v>Metals</c:v>
                </c:pt>
                <c:pt idx="14">
                  <c:v>Textile</c:v>
                </c:pt>
                <c:pt idx="15">
                  <c:v>Logistics</c:v>
                </c:pt>
                <c:pt idx="16">
                  <c:v>Diversified</c:v>
                </c:pt>
              </c:strCache>
            </c:strRef>
          </c:cat>
          <c:val>
            <c:numRef>
              <c:f>Portfolio!$E$3:$E$20</c:f>
              <c:numCache>
                <c:formatCode>0.00"%"</c:formatCode>
                <c:ptCount val="17"/>
                <c:pt idx="0">
                  <c:v>25.189999999999998</c:v>
                </c:pt>
                <c:pt idx="1">
                  <c:v>13.310000000000002</c:v>
                </c:pt>
                <c:pt idx="2">
                  <c:v>11.500000000000002</c:v>
                </c:pt>
                <c:pt idx="3">
                  <c:v>7.330000000000001</c:v>
                </c:pt>
                <c:pt idx="4">
                  <c:v>7.07</c:v>
                </c:pt>
                <c:pt idx="5">
                  <c:v>6.0299999999999994</c:v>
                </c:pt>
                <c:pt idx="6">
                  <c:v>5.3999999999999995</c:v>
                </c:pt>
                <c:pt idx="7">
                  <c:v>5.1700000000000008</c:v>
                </c:pt>
                <c:pt idx="8">
                  <c:v>3.88</c:v>
                </c:pt>
                <c:pt idx="9">
                  <c:v>2.93</c:v>
                </c:pt>
                <c:pt idx="10">
                  <c:v>1.9500000000000002</c:v>
                </c:pt>
                <c:pt idx="11">
                  <c:v>1.91</c:v>
                </c:pt>
                <c:pt idx="12">
                  <c:v>1.81</c:v>
                </c:pt>
                <c:pt idx="13">
                  <c:v>1.29</c:v>
                </c:pt>
                <c:pt idx="14">
                  <c:v>0.99</c:v>
                </c:pt>
                <c:pt idx="15">
                  <c:v>0.7</c:v>
                </c:pt>
                <c:pt idx="16">
                  <c:v>0.45</c:v>
                </c:pt>
              </c:numCache>
            </c:numRef>
          </c:val>
          <c:extLst>
            <c:ext xmlns:c16="http://schemas.microsoft.com/office/drawing/2014/chart" uri="{C3380CC4-5D6E-409C-BE32-E72D297353CC}">
              <c16:uniqueId val="{00000000-8395-4F7F-9970-BF9379A419B3}"/>
            </c:ext>
          </c:extLst>
        </c:ser>
        <c:dLbls>
          <c:showLegendKey val="0"/>
          <c:showVal val="0"/>
          <c:showCatName val="0"/>
          <c:showSerName val="0"/>
          <c:showPercent val="0"/>
          <c:showBubbleSize val="0"/>
        </c:dLbls>
        <c:gapWidth val="164"/>
        <c:overlap val="-22"/>
        <c:axId val="1093810607"/>
        <c:axId val="1093802927"/>
      </c:barChart>
      <c:catAx>
        <c:axId val="1093810607"/>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02927"/>
        <c:crosses val="autoZero"/>
        <c:auto val="1"/>
        <c:lblAlgn val="ctr"/>
        <c:lblOffset val="100"/>
        <c:noMultiLvlLbl val="0"/>
      </c:catAx>
      <c:valAx>
        <c:axId val="1093802927"/>
        <c:scaling>
          <c:orientation val="minMax"/>
        </c:scaling>
        <c:delete val="0"/>
        <c:axPos val="l"/>
        <c:numFmt formatCode="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1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18260850305105"/>
          <c:y val="3.1642909588069972E-2"/>
          <c:w val="0.75287970253718284"/>
          <c:h val="0.73614173228346458"/>
        </c:manualLayout>
      </c:layout>
      <c:barChart>
        <c:barDir val="col"/>
        <c:grouping val="clustered"/>
        <c:varyColors val="0"/>
        <c:ser>
          <c:idx val="1"/>
          <c:order val="1"/>
          <c:tx>
            <c:strRef>
              <c:f>'SIP Returns'!$C$22</c:f>
              <c:strCache>
                <c:ptCount val="1"/>
                <c:pt idx="0">
                  <c:v>Invested Valued</c:v>
                </c:pt>
              </c:strCache>
            </c:strRef>
          </c:tx>
          <c:spPr>
            <a:solidFill>
              <a:schemeClr val="accent1">
                <a:lumMod val="60000"/>
                <a:lumOff val="40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Returns'!$C$23:$C$28</c:f>
              <c:numCache>
                <c:formatCode>#,###</c:formatCode>
                <c:ptCount val="6"/>
                <c:pt idx="0">
                  <c:v>5402898</c:v>
                </c:pt>
                <c:pt idx="1">
                  <c:v>1138461</c:v>
                </c:pt>
                <c:pt idx="2">
                  <c:v>732612</c:v>
                </c:pt>
                <c:pt idx="3">
                  <c:v>397200</c:v>
                </c:pt>
                <c:pt idx="4">
                  <c:v>252000</c:v>
                </c:pt>
                <c:pt idx="5">
                  <c:v>120000</c:v>
                </c:pt>
              </c:numCache>
            </c:numRef>
          </c:val>
          <c:extLst>
            <c:ext xmlns:c16="http://schemas.microsoft.com/office/drawing/2014/chart" uri="{C3380CC4-5D6E-409C-BE32-E72D297353CC}">
              <c16:uniqueId val="{00000001-9639-430E-A4D5-6FF61BD7070A}"/>
            </c:ext>
          </c:extLst>
        </c:ser>
        <c:ser>
          <c:idx val="2"/>
          <c:order val="2"/>
          <c:tx>
            <c:strRef>
              <c:f>'SIP Returns'!$D$22</c:f>
              <c:strCache>
                <c:ptCount val="1"/>
                <c:pt idx="0">
                  <c:v>Market value</c:v>
                </c:pt>
              </c:strCache>
            </c:strRef>
          </c:tx>
          <c:spPr>
            <a:solidFill>
              <a:schemeClr val="tx2">
                <a:lumMod val="75000"/>
                <a:lumOff val="25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Returns'!$D$23:$D$28</c:f>
              <c:numCache>
                <c:formatCode>#,###</c:formatCode>
                <c:ptCount val="6"/>
                <c:pt idx="0">
                  <c:v>1912491</c:v>
                </c:pt>
                <c:pt idx="1">
                  <c:v>2630108</c:v>
                </c:pt>
                <c:pt idx="2">
                  <c:v>1295483</c:v>
                </c:pt>
                <c:pt idx="3">
                  <c:v>552526</c:v>
                </c:pt>
                <c:pt idx="4">
                  <c:v>293888</c:v>
                </c:pt>
                <c:pt idx="5">
                  <c:v>129463</c:v>
                </c:pt>
              </c:numCache>
            </c:numRef>
          </c:val>
          <c:extLst>
            <c:ext xmlns:c16="http://schemas.microsoft.com/office/drawing/2014/chart" uri="{C3380CC4-5D6E-409C-BE32-E72D297353CC}">
              <c16:uniqueId val="{00000002-9639-430E-A4D5-6FF61BD7070A}"/>
            </c:ext>
          </c:extLst>
        </c:ser>
        <c:dLbls>
          <c:showLegendKey val="0"/>
          <c:showVal val="1"/>
          <c:showCatName val="0"/>
          <c:showSerName val="0"/>
          <c:showPercent val="0"/>
          <c:showBubbleSize val="0"/>
        </c:dLbls>
        <c:gapWidth val="219"/>
        <c:axId val="33576704"/>
        <c:axId val="33577184"/>
        <c:extLst>
          <c:ext xmlns:c15="http://schemas.microsoft.com/office/drawing/2012/chart" uri="{02D57815-91ED-43cb-92C2-25804820EDAC}">
            <c15:filteredBarSeries>
              <c15:ser>
                <c:idx val="0"/>
                <c:order val="0"/>
                <c:tx>
                  <c:strRef>
                    <c:extLst>
                      <c:ext uri="{02D57815-91ED-43cb-92C2-25804820EDAC}">
                        <c15:formulaRef>
                          <c15:sqref>'SIP Returns'!$B$22</c15:sqref>
                        </c15:formulaRef>
                      </c:ext>
                    </c:extLst>
                    <c:strCache>
                      <c:ptCount val="1"/>
                      <c:pt idx="0">
                        <c:v>Tenure</c:v>
                      </c:pt>
                    </c:strCache>
                  </c:strRef>
                </c:tx>
                <c:spPr>
                  <a:solidFill>
                    <a:schemeClr val="accent1"/>
                  </a:solidFill>
                  <a:ln>
                    <a:noFill/>
                  </a:ln>
                  <a:effectLst/>
                </c:spPr>
                <c:invertIfNegative val="0"/>
                <c:dLbls>
                  <c:delete val="1"/>
                </c:dLbls>
                <c:cat>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cat>
                <c:val>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0-9639-430E-A4D5-6FF61BD7070A}"/>
                  </c:ext>
                </c:extLst>
              </c15:ser>
            </c15:filteredBarSeries>
          </c:ext>
        </c:extLst>
      </c:barChart>
      <c:lineChart>
        <c:grouping val="standard"/>
        <c:varyColors val="0"/>
        <c:ser>
          <c:idx val="3"/>
          <c:order val="3"/>
          <c:tx>
            <c:strRef>
              <c:f>'SIP Returns'!$E$22</c:f>
              <c:strCache>
                <c:ptCount val="1"/>
                <c:pt idx="0">
                  <c:v>XIRR</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dLbls>
            <c:dLbl>
              <c:idx val="0"/>
              <c:layout>
                <c:manualLayout>
                  <c:x val="1.1111111111111059E-2"/>
                  <c:y val="2.77777777777777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39-430E-A4D5-6FF61BD7070A}"/>
                </c:ext>
              </c:extLst>
            </c:dLbl>
            <c:dLbl>
              <c:idx val="1"/>
              <c:layout>
                <c:manualLayout>
                  <c:x val="-4.1666666666666664E-2"/>
                  <c:y val="-4.6296296296296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39-430E-A4D5-6FF61BD7070A}"/>
                </c:ext>
              </c:extLst>
            </c:dLbl>
            <c:dLbl>
              <c:idx val="2"/>
              <c:layout>
                <c:manualLayout>
                  <c:x val="-3.888888888888889E-2"/>
                  <c:y val="6.85704715232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39-430E-A4D5-6FF61BD7070A}"/>
                </c:ext>
              </c:extLst>
            </c:dLbl>
            <c:dLbl>
              <c:idx val="4"/>
              <c:layout>
                <c:manualLayout>
                  <c:x val="-4.1666666666666664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39-430E-A4D5-6FF61BD7070A}"/>
                </c:ext>
              </c:extLst>
            </c:dLbl>
            <c:dLbl>
              <c:idx val="5"/>
              <c:layout>
                <c:manualLayout>
                  <c:x val="-6.2068965517241378E-2"/>
                  <c:y val="-4.9535441456399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39-430E-A4D5-6FF61BD707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Returns'!$E$23:$E$28</c:f>
              <c:numCache>
                <c:formatCode>0.00%</c:formatCode>
                <c:ptCount val="6"/>
                <c:pt idx="0">
                  <c:v>0.22620000000000001</c:v>
                </c:pt>
                <c:pt idx="1">
                  <c:v>0.26</c:v>
                </c:pt>
                <c:pt idx="2">
                  <c:v>0.2487</c:v>
                </c:pt>
                <c:pt idx="3">
                  <c:v>0.2387</c:v>
                </c:pt>
                <c:pt idx="4">
                  <c:v>0.1661</c:v>
                </c:pt>
                <c:pt idx="5">
                  <c:v>0.1772</c:v>
                </c:pt>
              </c:numCache>
            </c:numRef>
          </c:val>
          <c:smooth val="0"/>
          <c:extLst>
            <c:ext xmlns:c16="http://schemas.microsoft.com/office/drawing/2014/chart" uri="{C3380CC4-5D6E-409C-BE32-E72D297353CC}">
              <c16:uniqueId val="{00000003-9639-430E-A4D5-6FF61BD7070A}"/>
            </c:ext>
          </c:extLst>
        </c:ser>
        <c:dLbls>
          <c:showLegendKey val="0"/>
          <c:showVal val="1"/>
          <c:showCatName val="0"/>
          <c:showSerName val="0"/>
          <c:showPercent val="0"/>
          <c:showBubbleSize val="0"/>
        </c:dLbls>
        <c:marker val="1"/>
        <c:smooth val="0"/>
        <c:axId val="33583424"/>
        <c:axId val="33582944"/>
      </c:lineChart>
      <c:catAx>
        <c:axId val="33576704"/>
        <c:scaling>
          <c:orientation val="minMax"/>
        </c:scaling>
        <c:delete val="0"/>
        <c:axPos val="b"/>
        <c:numFmt formatCode="0&quot;Y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7184"/>
        <c:crosses val="autoZero"/>
        <c:auto val="1"/>
        <c:lblAlgn val="ctr"/>
        <c:lblOffset val="100"/>
        <c:noMultiLvlLbl val="0"/>
      </c:catAx>
      <c:valAx>
        <c:axId val="33577184"/>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6704"/>
        <c:crosses val="autoZero"/>
        <c:crossBetween val="between"/>
      </c:valAx>
      <c:valAx>
        <c:axId val="33582944"/>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3424"/>
        <c:crosses val="max"/>
        <c:crossBetween val="between"/>
      </c:valAx>
      <c:catAx>
        <c:axId val="33583424"/>
        <c:scaling>
          <c:orientation val="minMax"/>
        </c:scaling>
        <c:delete val="1"/>
        <c:axPos val="b"/>
        <c:majorTickMark val="out"/>
        <c:minorTickMark val="none"/>
        <c:tickLblPos val="nextTo"/>
        <c:crossAx val="33582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58092738407698"/>
          <c:y val="5.0925925925925923E-2"/>
          <c:w val="0.75287970253718284"/>
          <c:h val="0.73614173228346458"/>
        </c:manualLayout>
      </c:layout>
      <c:barChart>
        <c:barDir val="col"/>
        <c:grouping val="clustered"/>
        <c:varyColors val="0"/>
        <c:ser>
          <c:idx val="1"/>
          <c:order val="1"/>
          <c:tx>
            <c:strRef>
              <c:f>'SIP Returns'!$C$3</c:f>
              <c:strCache>
                <c:ptCount val="1"/>
                <c:pt idx="0">
                  <c:v>Invested Valued</c:v>
                </c:pt>
              </c:strCache>
            </c:strRef>
          </c:tx>
          <c:spPr>
            <a:solidFill>
              <a:schemeClr val="accent1">
                <a:lumMod val="60000"/>
                <a:lumOff val="40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Returns'!$C$4:$C$9</c:f>
              <c:numCache>
                <c:formatCode>0</c:formatCode>
                <c:ptCount val="6"/>
                <c:pt idx="0">
                  <c:v>1200000</c:v>
                </c:pt>
                <c:pt idx="1">
                  <c:v>840000</c:v>
                </c:pt>
                <c:pt idx="2">
                  <c:v>600000</c:v>
                </c:pt>
                <c:pt idx="3">
                  <c:v>360000</c:v>
                </c:pt>
                <c:pt idx="4">
                  <c:v>240000</c:v>
                </c:pt>
                <c:pt idx="5">
                  <c:v>120000</c:v>
                </c:pt>
              </c:numCache>
            </c:numRef>
          </c:val>
          <c:extLst>
            <c:ext xmlns:c16="http://schemas.microsoft.com/office/drawing/2014/chart" uri="{C3380CC4-5D6E-409C-BE32-E72D297353CC}">
              <c16:uniqueId val="{00000001-70F0-4D06-8066-8AA8B08FC2FB}"/>
            </c:ext>
          </c:extLst>
        </c:ser>
        <c:ser>
          <c:idx val="2"/>
          <c:order val="2"/>
          <c:tx>
            <c:strRef>
              <c:f>'SIP Returns'!$D$3</c:f>
              <c:strCache>
                <c:ptCount val="1"/>
                <c:pt idx="0">
                  <c:v>Market value</c:v>
                </c:pt>
              </c:strCache>
            </c:strRef>
          </c:tx>
          <c:spPr>
            <a:solidFill>
              <a:schemeClr val="tx2">
                <a:lumMod val="75000"/>
                <a:lumOff val="25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Returns'!$D$4:$D$9</c:f>
              <c:numCache>
                <c:formatCode>0</c:formatCode>
                <c:ptCount val="6"/>
                <c:pt idx="0">
                  <c:v>3867115</c:v>
                </c:pt>
                <c:pt idx="1">
                  <c:v>2122776</c:v>
                </c:pt>
                <c:pt idx="2">
                  <c:v>1110963</c:v>
                </c:pt>
                <c:pt idx="3">
                  <c:v>510191</c:v>
                </c:pt>
                <c:pt idx="4">
                  <c:v>280942</c:v>
                </c:pt>
                <c:pt idx="5">
                  <c:v>129463</c:v>
                </c:pt>
              </c:numCache>
            </c:numRef>
          </c:val>
          <c:extLst>
            <c:ext xmlns:c16="http://schemas.microsoft.com/office/drawing/2014/chart" uri="{C3380CC4-5D6E-409C-BE32-E72D297353CC}">
              <c16:uniqueId val="{00000002-70F0-4D06-8066-8AA8B08FC2FB}"/>
            </c:ext>
          </c:extLst>
        </c:ser>
        <c:dLbls>
          <c:showLegendKey val="0"/>
          <c:showVal val="0"/>
          <c:showCatName val="0"/>
          <c:showSerName val="0"/>
          <c:showPercent val="0"/>
          <c:showBubbleSize val="0"/>
        </c:dLbls>
        <c:gapWidth val="219"/>
        <c:axId val="1540455232"/>
        <c:axId val="1540455712"/>
        <c:extLst>
          <c:ext xmlns:c15="http://schemas.microsoft.com/office/drawing/2012/chart" uri="{02D57815-91ED-43cb-92C2-25804820EDAC}">
            <c15:filteredBarSeries>
              <c15:ser>
                <c:idx val="0"/>
                <c:order val="0"/>
                <c:tx>
                  <c:strRef>
                    <c:extLst>
                      <c:ext uri="{02D57815-91ED-43cb-92C2-25804820EDAC}">
                        <c15:formulaRef>
                          <c15:sqref>'SIP Returns'!$B$3</c15:sqref>
                        </c15:formulaRef>
                      </c:ext>
                    </c:extLst>
                    <c:strCache>
                      <c:ptCount val="1"/>
                      <c:pt idx="0">
                        <c:v>Tenure</c:v>
                      </c:pt>
                    </c:strCache>
                  </c:strRef>
                </c:tx>
                <c:spPr>
                  <a:solidFill>
                    <a:schemeClr val="accent1"/>
                  </a:solidFill>
                  <a:ln>
                    <a:noFill/>
                  </a:ln>
                  <a:effectLst/>
                </c:spPr>
                <c:invertIfNegative val="0"/>
                <c:cat>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cat>
                <c:val>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0-70F0-4D06-8066-8AA8B08FC2FB}"/>
                  </c:ext>
                </c:extLst>
              </c15:ser>
            </c15:filteredBarSeries>
          </c:ext>
        </c:extLst>
      </c:barChart>
      <c:lineChart>
        <c:grouping val="standard"/>
        <c:varyColors val="0"/>
        <c:ser>
          <c:idx val="3"/>
          <c:order val="3"/>
          <c:tx>
            <c:strRef>
              <c:f>'SIP Returns'!$E$3</c:f>
              <c:strCache>
                <c:ptCount val="1"/>
                <c:pt idx="0">
                  <c:v>XIRR</c:v>
                </c:pt>
              </c:strCache>
            </c:strRef>
          </c:tx>
          <c:spPr>
            <a:ln w="15875" cap="rnd">
              <a:solidFill>
                <a:schemeClr val="accent4"/>
              </a:solidFill>
              <a:round/>
            </a:ln>
            <a:effectLst/>
          </c:spPr>
          <c:marker>
            <c:symbol val="circle"/>
            <c:size val="4"/>
            <c:spPr>
              <a:solidFill>
                <a:schemeClr val="accent4"/>
              </a:solidFill>
              <a:ln w="0">
                <a:solidFill>
                  <a:schemeClr val="accent4"/>
                </a:solidFill>
              </a:ln>
              <a:effectLst/>
            </c:spPr>
          </c:marker>
          <c:dLbls>
            <c:dLbl>
              <c:idx val="0"/>
              <c:layout>
                <c:manualLayout>
                  <c:x val="3.055555555555550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F0-4D06-8066-8AA8B08FC2FB}"/>
                </c:ext>
              </c:extLst>
            </c:dLbl>
            <c:dLbl>
              <c:idx val="1"/>
              <c:layout>
                <c:manualLayout>
                  <c:x val="-2.777777777777777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F0-4D06-8066-8AA8B08FC2FB}"/>
                </c:ext>
              </c:extLst>
            </c:dLbl>
            <c:dLbl>
              <c:idx val="2"/>
              <c:layout>
                <c:manualLayout>
                  <c:x val="-5.555555555555555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F0-4D06-8066-8AA8B08FC2FB}"/>
                </c:ext>
              </c:extLst>
            </c:dLbl>
            <c:dLbl>
              <c:idx val="4"/>
              <c:layout>
                <c:manualLayout>
                  <c:x val="-0.1222222222222222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F0-4D06-8066-8AA8B08FC2FB}"/>
                </c:ext>
              </c:extLst>
            </c:dLbl>
            <c:dLbl>
              <c:idx val="5"/>
              <c:layout>
                <c:manualLayout>
                  <c:x val="-9.166666666666666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F0-4D06-8066-8AA8B08FC2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Returns'!$E$4:$E$9</c:f>
              <c:numCache>
                <c:formatCode>0.00%</c:formatCode>
                <c:ptCount val="6"/>
                <c:pt idx="0">
                  <c:v>0.22159999999999999</c:v>
                </c:pt>
                <c:pt idx="1">
                  <c:v>0.26069999999999999</c:v>
                </c:pt>
                <c:pt idx="2">
                  <c:v>0.2492</c:v>
                </c:pt>
                <c:pt idx="3">
                  <c:v>0.2402</c:v>
                </c:pt>
                <c:pt idx="4">
                  <c:v>0.15959999999999999</c:v>
                </c:pt>
                <c:pt idx="5">
                  <c:v>0.14960000000000001</c:v>
                </c:pt>
              </c:numCache>
            </c:numRef>
          </c:val>
          <c:smooth val="0"/>
          <c:extLst>
            <c:ext xmlns:c16="http://schemas.microsoft.com/office/drawing/2014/chart" uri="{C3380CC4-5D6E-409C-BE32-E72D297353CC}">
              <c16:uniqueId val="{00000003-70F0-4D06-8066-8AA8B08FC2FB}"/>
            </c:ext>
          </c:extLst>
        </c:ser>
        <c:dLbls>
          <c:showLegendKey val="0"/>
          <c:showVal val="1"/>
          <c:showCatName val="0"/>
          <c:showSerName val="0"/>
          <c:showPercent val="0"/>
          <c:showBubbleSize val="0"/>
        </c:dLbls>
        <c:marker val="1"/>
        <c:smooth val="0"/>
        <c:axId val="1540457152"/>
        <c:axId val="1540466272"/>
      </c:lineChart>
      <c:catAx>
        <c:axId val="154045523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712"/>
        <c:crosses val="autoZero"/>
        <c:auto val="1"/>
        <c:lblAlgn val="ctr"/>
        <c:lblOffset val="100"/>
        <c:noMultiLvlLbl val="0"/>
      </c:catAx>
      <c:valAx>
        <c:axId val="1540455712"/>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232"/>
        <c:crosses val="autoZero"/>
        <c:crossBetween val="between"/>
      </c:valAx>
      <c:valAx>
        <c:axId val="1540466272"/>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7152"/>
        <c:crosses val="max"/>
        <c:crossBetween val="between"/>
      </c:valAx>
      <c:catAx>
        <c:axId val="1540457152"/>
        <c:scaling>
          <c:orientation val="minMax"/>
        </c:scaling>
        <c:delete val="1"/>
        <c:axPos val="b"/>
        <c:majorTickMark val="out"/>
        <c:minorTickMark val="none"/>
        <c:tickLblPos val="nextTo"/>
        <c:crossAx val="1540466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60960</xdr:colOff>
      <xdr:row>21</xdr:row>
      <xdr:rowOff>114300</xdr:rowOff>
    </xdr:from>
    <xdr:to>
      <xdr:col>7</xdr:col>
      <xdr:colOff>76200</xdr:colOff>
      <xdr:row>29</xdr:row>
      <xdr:rowOff>60960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958340" y="3398520"/>
          <a:ext cx="3185160" cy="1348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ln>
                <a:noFill/>
              </a:ln>
              <a:solidFill>
                <a:schemeClr val="dk1"/>
              </a:solidFill>
              <a:effectLst/>
              <a:latin typeface="Century Gothic" panose="020B0502020202020204" pitchFamily="34" charset="0"/>
              <a:ea typeface="+mn-ea"/>
              <a:cs typeface="+mn-cs"/>
            </a:rPr>
            <a:t>Nippon India Growth Fund invest in mid-cap stocks of Indian equity markets.The idea of the fund is to find the companies with top line growth at fast pace and with potential increase the bottom line substantially</a:t>
          </a:r>
          <a:r>
            <a:rPr lang="en-US" sz="900" b="0" i="0" u="none" strike="noStrike" baseline="0">
              <a:ln>
                <a:noFill/>
              </a:ln>
              <a:solidFill>
                <a:schemeClr val="dk1"/>
              </a:solidFill>
              <a:effectLst/>
              <a:latin typeface="Century Gothic" panose="020B0502020202020204" pitchFamily="34" charset="0"/>
              <a:ea typeface="+mn-ea"/>
              <a:cs typeface="+mn-cs"/>
            </a:rPr>
            <a:t> over a period of time.</a:t>
          </a:r>
        </a:p>
        <a:p>
          <a:endParaRPr lang="en-US" sz="900" b="0" i="0" u="none" strike="noStrike" baseline="0">
            <a:ln>
              <a:noFill/>
            </a:ln>
            <a:solidFill>
              <a:schemeClr val="dk1"/>
            </a:solidFill>
            <a:effectLst/>
            <a:latin typeface="Century Gothic" panose="020B0502020202020204" pitchFamily="34" charset="0"/>
            <a:ea typeface="+mn-ea"/>
            <a:cs typeface="+mn-cs"/>
          </a:endParaRPr>
        </a:p>
        <a:p>
          <a:r>
            <a:rPr lang="en-US" sz="900" b="0" i="0" u="none" strike="noStrike" baseline="0">
              <a:ln>
                <a:noFill/>
              </a:ln>
              <a:solidFill>
                <a:schemeClr val="dk1"/>
              </a:solidFill>
              <a:effectLst/>
              <a:latin typeface="Century Gothic" panose="020B0502020202020204" pitchFamily="34" charset="0"/>
              <a:ea typeface="+mn-ea"/>
              <a:cs typeface="+mn-cs"/>
            </a:rPr>
            <a:t>The fund is focussed to identityfy future market leaders at early stage so that to generate a long term alpha with major focus on consumer discretionary,financials,healthcare and outsourcing with a belief that these sectors will outperform the economy.</a:t>
          </a:r>
          <a:endParaRPr lang="en-US" sz="900">
            <a:ln>
              <a:noFill/>
            </a:ln>
            <a:latin typeface="Century Gothic" panose="020B0502020202020204" pitchFamily="34" charset="0"/>
          </a:endParaRPr>
        </a:p>
      </xdr:txBody>
    </xdr:sp>
    <xdr:clientData/>
  </xdr:twoCellAnchor>
  <xdr:twoCellAnchor>
    <xdr:from>
      <xdr:col>7</xdr:col>
      <xdr:colOff>83820</xdr:colOff>
      <xdr:row>21</xdr:row>
      <xdr:rowOff>83820</xdr:rowOff>
    </xdr:from>
    <xdr:to>
      <xdr:col>12</xdr:col>
      <xdr:colOff>541020</xdr:colOff>
      <xdr:row>32</xdr:row>
      <xdr:rowOff>22860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36</xdr:row>
      <xdr:rowOff>0</xdr:rowOff>
    </xdr:from>
    <xdr:to>
      <xdr:col>6</xdr:col>
      <xdr:colOff>556846</xdr:colOff>
      <xdr:row>48</xdr:row>
      <xdr:rowOff>68385</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36</xdr:row>
      <xdr:rowOff>0</xdr:rowOff>
    </xdr:from>
    <xdr:to>
      <xdr:col>13</xdr:col>
      <xdr:colOff>58616</xdr:colOff>
      <xdr:row>48</xdr:row>
      <xdr:rowOff>39077</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42333</xdr:colOff>
      <xdr:row>85</xdr:row>
      <xdr:rowOff>50800</xdr:rowOff>
    </xdr:from>
    <xdr:to>
      <xdr:col>14</xdr:col>
      <xdr:colOff>8468</xdr:colOff>
      <xdr:row>90</xdr:row>
      <xdr:rowOff>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828800" y="15714133"/>
          <a:ext cx="6739468" cy="8551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a:latin typeface="Century Gothic" panose="020B0502020202020204" pitchFamily="34" charset="0"/>
            </a:rPr>
            <a:t>The fund delivered CAGR returns of 7.55%, 27.00%, 26.32%, 20.50%, and 30.40% for the 1-year to 5-year periods respectively under the lump sum mode. The corresponding XIRR returns under SIP were 22.16%, 26.07%, 24.92%, 24.02%, 15.96%, and 14.96% across similar tenures.</a:t>
          </a:r>
        </a:p>
        <a:p>
          <a:pPr algn="l"/>
          <a:r>
            <a:rPr lang="en-US" sz="900">
              <a:latin typeface="Century Gothic" panose="020B0502020202020204" pitchFamily="34" charset="0"/>
            </a:rPr>
            <a:t>Performance is relatively average in the 1-year period but improves clearly over 3–5 years. The fund has outperformed both Nifty Midcap 150 TRI and BSE Sensex across most longer tenures in both lump sum and SIP modes.</a:t>
          </a:r>
        </a:p>
        <a:p>
          <a:pPr algn="l"/>
          <a:endParaRPr lang="en-US" sz="1000">
            <a:latin typeface="Century Gothic" panose="020B0502020202020204" pitchFamily="34" charset="0"/>
          </a:endParaRPr>
        </a:p>
        <a:p>
          <a:pPr algn="l"/>
          <a:endParaRPr lang="en-US" sz="1000">
            <a:latin typeface="Century Gothic" panose="020B0502020202020204" pitchFamily="34" charset="0"/>
          </a:endParaRPr>
        </a:p>
        <a:p>
          <a:pPr algn="l"/>
          <a:endParaRPr lang="en-US" sz="1000">
            <a:latin typeface="Century Gothic" panose="020B0502020202020204" pitchFamily="34" charset="0"/>
          </a:endParaRPr>
        </a:p>
      </xdr:txBody>
    </xdr:sp>
    <xdr:clientData/>
  </xdr:twoCellAnchor>
  <xdr:twoCellAnchor editAs="oneCell">
    <xdr:from>
      <xdr:col>5</xdr:col>
      <xdr:colOff>655320</xdr:colOff>
      <xdr:row>99</xdr:row>
      <xdr:rowOff>45720</xdr:rowOff>
    </xdr:from>
    <xdr:to>
      <xdr:col>12</xdr:col>
      <xdr:colOff>287664</xdr:colOff>
      <xdr:row>112</xdr:row>
      <xdr:rowOff>15240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4480560" y="18028920"/>
          <a:ext cx="4023157" cy="2118360"/>
        </a:xfrm>
        <a:prstGeom prst="rect">
          <a:avLst/>
        </a:prstGeom>
      </xdr:spPr>
    </xdr:pic>
    <xdr:clientData/>
  </xdr:twoCellAnchor>
  <xdr:twoCellAnchor>
    <xdr:from>
      <xdr:col>1</xdr:col>
      <xdr:colOff>38947</xdr:colOff>
      <xdr:row>100</xdr:row>
      <xdr:rowOff>66040</xdr:rowOff>
    </xdr:from>
    <xdr:to>
      <xdr:col>5</xdr:col>
      <xdr:colOff>633307</xdr:colOff>
      <xdr:row>112</xdr:row>
      <xdr:rowOff>65194</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1825414" y="18481040"/>
          <a:ext cx="2643293" cy="19972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latin typeface="Century Gothic" panose="020B0502020202020204" pitchFamily="34" charset="0"/>
              <a:cs typeface="Arial" panose="020B0604020202020204" pitchFamily="34" charset="0"/>
            </a:rPr>
            <a:t>The fund has generated an annualised return of 23.82%, higher than the benchmark by approximately 2.4%. Volatility at 15.45% is slightly lower than the benchmark, resulting in superior risk-adjusted performance. A Sharpe ratio of 1.65 and positive alpha of 2.76 indicate consistent excess returns relative to risk. A beta of 0.96 suggests marginally lower sensitivity to market movements compared to the benchmark</a:t>
          </a:r>
          <a:r>
            <a:rPr lang="en-US" sz="900">
              <a:latin typeface="Century Gothic" panose="020B0502020202020204" pitchFamily="34" charset="0"/>
              <a:cs typeface="Arial" panose="020B0604020202020204" pitchFamily="34" charset="0"/>
            </a:rPr>
            <a:t>.</a:t>
          </a:r>
        </a:p>
      </xdr:txBody>
    </xdr:sp>
    <xdr:clientData/>
  </xdr:twoCellAnchor>
  <xdr:twoCellAnchor editAs="oneCell">
    <xdr:from>
      <xdr:col>2</xdr:col>
      <xdr:colOff>0</xdr:colOff>
      <xdr:row>114</xdr:row>
      <xdr:rowOff>15241</xdr:rowOff>
    </xdr:from>
    <xdr:to>
      <xdr:col>12</xdr:col>
      <xdr:colOff>226907</xdr:colOff>
      <xdr:row>129</xdr:row>
      <xdr:rowOff>167641</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5"/>
        <a:stretch>
          <a:fillRect/>
        </a:stretch>
      </xdr:blipFill>
      <xdr:spPr>
        <a:xfrm>
          <a:off x="1897380" y="20474941"/>
          <a:ext cx="6545580" cy="2781300"/>
        </a:xfrm>
        <a:prstGeom prst="rect">
          <a:avLst/>
        </a:prstGeom>
      </xdr:spPr>
    </xdr:pic>
    <xdr:clientData/>
  </xdr:twoCellAnchor>
  <xdr:twoCellAnchor editAs="oneCell">
    <xdr:from>
      <xdr:col>2</xdr:col>
      <xdr:colOff>53340</xdr:colOff>
      <xdr:row>130</xdr:row>
      <xdr:rowOff>167641</xdr:rowOff>
    </xdr:from>
    <xdr:to>
      <xdr:col>12</xdr:col>
      <xdr:colOff>482600</xdr:colOff>
      <xdr:row>148</xdr:row>
      <xdr:rowOff>152401</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stretch>
          <a:fillRect/>
        </a:stretch>
      </xdr:blipFill>
      <xdr:spPr>
        <a:xfrm>
          <a:off x="1958340" y="23755774"/>
          <a:ext cx="6753860" cy="3185160"/>
        </a:xfrm>
        <a:prstGeom prst="rect">
          <a:avLst/>
        </a:prstGeom>
      </xdr:spPr>
    </xdr:pic>
    <xdr:clientData/>
  </xdr:twoCellAnchor>
  <xdr:twoCellAnchor>
    <xdr:from>
      <xdr:col>2</xdr:col>
      <xdr:colOff>99060</xdr:colOff>
      <xdr:row>50</xdr:row>
      <xdr:rowOff>144781</xdr:rowOff>
    </xdr:from>
    <xdr:to>
      <xdr:col>13</xdr:col>
      <xdr:colOff>0</xdr:colOff>
      <xdr:row>57</xdr:row>
      <xdr:rowOff>6927</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997133" y="8665326"/>
          <a:ext cx="6945976" cy="1074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Century Gothic" panose="020B0502020202020204" pitchFamily="34" charset="0"/>
            </a:rPr>
            <a:t>The fund has delivered consistent outperformance against its benchmark and category over longer time horizons. While the volatility is slightly higher than the benchmark, risk-adjusted performance remAlthough volatility is slightly higher than the benchmark, risk-adjusted returns remain strong.</a:t>
          </a:r>
        </a:p>
        <a:p>
          <a:endParaRPr lang="en-US" sz="900">
            <a:latin typeface="Century Gothic" panose="020B0502020202020204" pitchFamily="34" charset="0"/>
          </a:endParaRPr>
        </a:p>
        <a:p>
          <a:r>
            <a:rPr lang="en-US" sz="900">
              <a:latin typeface="Century Gothic" panose="020B0502020202020204" pitchFamily="34" charset="0"/>
            </a:rPr>
            <a:t>The fund has been managed by Kinjal Desai since February 2019, with Mr. Rupesh Patel and Sanjay Doshi joining the team in January 2023. The management structure reflects a blend of continuity and relatively recent additions.</a:t>
          </a:r>
        </a:p>
      </xdr:txBody>
    </xdr:sp>
    <xdr:clientData/>
  </xdr:twoCellAnchor>
  <xdr:twoCellAnchor>
    <xdr:from>
      <xdr:col>1</xdr:col>
      <xdr:colOff>73660</xdr:colOff>
      <xdr:row>173</xdr:row>
      <xdr:rowOff>846</xdr:rowOff>
    </xdr:from>
    <xdr:to>
      <xdr:col>13</xdr:col>
      <xdr:colOff>7619</xdr:colOff>
      <xdr:row>177</xdr:row>
      <xdr:rowOff>31326</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856740" y="30930426"/>
          <a:ext cx="7089139" cy="746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Disclaimer: </a:t>
          </a:r>
          <a:r>
            <a:rPr lang="en-US" sz="900" b="0">
              <a:latin typeface="Century Gothic" panose="020B0502020202020204" pitchFamily="34" charset="0"/>
            </a:rPr>
            <a:t>Disclaimer: This project is prepared for educational purposes only and does not constitute investment advice. The author is not a SEBI-registered investment advisor. Investors should conduct their own due diligence before making financial decisions.</a:t>
          </a:r>
        </a:p>
        <a:p>
          <a:pPr algn="l"/>
          <a:endParaRPr lang="en-US" sz="900" b="0">
            <a:latin typeface="Century Gothic" panose="020B0502020202020204" pitchFamily="34" charset="0"/>
          </a:endParaRPr>
        </a:p>
        <a:p>
          <a:endParaRPr lang="en-US" sz="900" b="0">
            <a:latin typeface="Century Gothic" panose="020B0502020202020204" pitchFamily="34" charset="0"/>
          </a:endParaRPr>
        </a:p>
      </xdr:txBody>
    </xdr:sp>
    <xdr:clientData/>
  </xdr:twoCellAnchor>
  <xdr:twoCellAnchor>
    <xdr:from>
      <xdr:col>2</xdr:col>
      <xdr:colOff>33865</xdr:colOff>
      <xdr:row>150</xdr:row>
      <xdr:rowOff>8465</xdr:rowOff>
    </xdr:from>
    <xdr:to>
      <xdr:col>12</xdr:col>
      <xdr:colOff>601133</xdr:colOff>
      <xdr:row>153</xdr:row>
      <xdr:rowOff>42332</xdr:rowOff>
    </xdr:to>
    <xdr:sp macro="" textlink="">
      <xdr:nvSpPr>
        <xdr:cNvPr id="6" name="TextBox 5">
          <a:extLst>
            <a:ext uri="{FF2B5EF4-FFF2-40B4-BE49-F238E27FC236}">
              <a16:creationId xmlns:a16="http://schemas.microsoft.com/office/drawing/2014/main" id="{E05B073B-6053-572C-15E9-4CBB2A5FF2FB}"/>
            </a:ext>
          </a:extLst>
        </xdr:cNvPr>
        <xdr:cNvSpPr txBox="1"/>
      </xdr:nvSpPr>
      <xdr:spPr>
        <a:xfrm>
          <a:off x="1938865" y="27152598"/>
          <a:ext cx="6891868" cy="567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Century Gothic" panose="020B0502020202020204" pitchFamily="34" charset="0"/>
            </a:rPr>
            <a:t>The portfolio trades at slightly lower valuation multiples than the category average on P/E and P/B, while maintaining stronger earnings and sales growth relative to both the category and the index. This suggests a growth-oriented allocation supported by reasonable valuation levels rather than excessive pricing.</a:t>
          </a:r>
        </a:p>
      </xdr:txBody>
    </xdr:sp>
    <xdr:clientData/>
  </xdr:twoCellAnchor>
  <xdr:twoCellAnchor>
    <xdr:from>
      <xdr:col>1</xdr:col>
      <xdr:colOff>76201</xdr:colOff>
      <xdr:row>168</xdr:row>
      <xdr:rowOff>160864</xdr:rowOff>
    </xdr:from>
    <xdr:to>
      <xdr:col>12</xdr:col>
      <xdr:colOff>592668</xdr:colOff>
      <xdr:row>172</xdr:row>
      <xdr:rowOff>50800</xdr:rowOff>
    </xdr:to>
    <xdr:sp macro="" textlink="">
      <xdr:nvSpPr>
        <xdr:cNvPr id="9" name="TextBox 8">
          <a:extLst>
            <a:ext uri="{FF2B5EF4-FFF2-40B4-BE49-F238E27FC236}">
              <a16:creationId xmlns:a16="http://schemas.microsoft.com/office/drawing/2014/main" id="{9E7D639D-A199-AC78-18B1-D32267E823BC}"/>
            </a:ext>
          </a:extLst>
        </xdr:cNvPr>
        <xdr:cNvSpPr txBox="1"/>
      </xdr:nvSpPr>
      <xdr:spPr>
        <a:xfrm>
          <a:off x="1862668" y="30632397"/>
          <a:ext cx="6959600" cy="618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latin typeface="Century Gothic" panose="020B0502020202020204" pitchFamily="34" charset="0"/>
            </a:rPr>
            <a:t>Over the last four quarters, the fund has actively rebalanced its positions with selective additions and meaningful reductions across certain mid-cap holdings. The changes reflect active portfolio restructuring rather than passive holding.passive holding.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1</xdr:row>
      <xdr:rowOff>60960</xdr:rowOff>
    </xdr:from>
    <xdr:to>
      <xdr:col>9</xdr:col>
      <xdr:colOff>236220</xdr:colOff>
      <xdr:row>14</xdr:row>
      <xdr:rowOff>30480</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14</xdr:row>
      <xdr:rowOff>0</xdr:rowOff>
    </xdr:from>
    <xdr:to>
      <xdr:col>8</xdr:col>
      <xdr:colOff>205740</xdr:colOff>
      <xdr:row>18</xdr:row>
      <xdr:rowOff>45720</xdr:rowOff>
    </xdr:to>
    <xdr:sp macro="" textlink="">
      <xdr:nvSpPr>
        <xdr:cNvPr id="2" name="TextBox 1">
          <a:extLst>
            <a:ext uri="{FF2B5EF4-FFF2-40B4-BE49-F238E27FC236}">
              <a16:creationId xmlns:a16="http://schemas.microsoft.com/office/drawing/2014/main" id="{B02B32E0-798B-A1F2-BE3F-52456F733105}"/>
            </a:ext>
          </a:extLst>
        </xdr:cNvPr>
        <xdr:cNvSpPr txBox="1"/>
      </xdr:nvSpPr>
      <xdr:spPr>
        <a:xfrm>
          <a:off x="8846820" y="2849880"/>
          <a:ext cx="5433060" cy="807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a:latin typeface="Century Gothic" panose="020B0502020202020204" pitchFamily="34" charset="0"/>
            </a:rPr>
            <a:t>The sector allocation gives a clear picture of where the fund is placing its bets. A larger share in Financials and Automobile &amp; Ancillaries shows a tilt towards cyclical sectors, which tend to benefit when the economy is doing well. At the same time, exposure to Healthcare and FMCG adds some stability. Overall, the mix helps understand how the fund balances growth opportunities with risk.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14</xdr:row>
      <xdr:rowOff>91440</xdr:rowOff>
    </xdr:from>
    <xdr:to>
      <xdr:col>11</xdr:col>
      <xdr:colOff>914400</xdr:colOff>
      <xdr:row>27</xdr:row>
      <xdr:rowOff>99060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434340</xdr:colOff>
      <xdr:row>1</xdr:row>
      <xdr:rowOff>72390</xdr:rowOff>
    </xdr:from>
    <xdr:to>
      <xdr:col>12</xdr:col>
      <xdr:colOff>182880</xdr:colOff>
      <xdr:row>12</xdr:row>
      <xdr:rowOff>137160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ehreen Abdullah" id="{2D18AD22-644C-4516-9DC1-3A546D1C903F}" userId="979bdc367b22686b"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6.961621759256" createdVersion="8" refreshedVersion="8" minRefreshableVersion="3" recordCount="95" xr:uid="{95CF8223-9D94-4C6C-BD1F-93860ABB6B94}">
  <cacheSource type="worksheet">
    <worksheetSource ref="A2:C97" sheet="Portfolio"/>
  </cacheSource>
  <cacheFields count="3">
    <cacheField name="Company" numFmtId="0">
      <sharedItems/>
    </cacheField>
    <cacheField name="Sector" numFmtId="0">
      <sharedItems count="17">
        <s v="Healthcare"/>
        <s v="Financials"/>
        <s v="Consumer Durables"/>
        <s v="Technology"/>
        <s v="Automobile and Ancillaries"/>
        <s v="Retail and Other Services"/>
        <s v="Media and Communications"/>
        <s v="FMCG"/>
        <s v="Capital Goods"/>
        <s v="Construction"/>
        <s v="Metals"/>
        <s v="Energy"/>
        <s v="Travel"/>
        <s v="Textile"/>
        <s v="Logistics"/>
        <s v="Chemicals"/>
        <s v="Diversified"/>
      </sharedItems>
    </cacheField>
    <cacheField name="Allocation%" numFmtId="0">
      <sharedItems containsSemiMixedTypes="0" containsString="0" containsNumber="1" minValue="0" maxValue="3.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s v="Fortis Healthcare Ltd."/>
    <x v="0"/>
    <n v="3.34"/>
  </r>
  <r>
    <s v="BSE Ltd."/>
    <x v="1"/>
    <n v="2.65"/>
  </r>
  <r>
    <s v="Cholamandalam Financial Holdings Ltd."/>
    <x v="1"/>
    <n v="2.56"/>
  </r>
  <r>
    <s v="Voltas Ltd."/>
    <x v="2"/>
    <n v="2.21"/>
  </r>
  <r>
    <s v="AU Small Finance Bank Ltd."/>
    <x v="1"/>
    <n v="2.14"/>
  </r>
  <r>
    <s v="Max Financial Services Ltd."/>
    <x v="1"/>
    <n v="2.04"/>
  </r>
  <r>
    <s v="Persistent Systems Ltd."/>
    <x v="3"/>
    <n v="2.02"/>
  </r>
  <r>
    <s v="The Federal Bank Ltd."/>
    <x v="1"/>
    <n v="2.0099999999999998"/>
  </r>
  <r>
    <s v="Power Finance Corporation Ltd."/>
    <x v="1"/>
    <n v="2"/>
  </r>
  <r>
    <s v="Ashok Leyland Ltd."/>
    <x v="4"/>
    <n v="1.88"/>
  </r>
  <r>
    <s v="Dixon Technologies (India) Ltd."/>
    <x v="2"/>
    <n v="1.87"/>
  </r>
  <r>
    <s v="Max Healthcare Institute Ltd."/>
    <x v="0"/>
    <n v="1.79"/>
  </r>
  <r>
    <s v="Tube Investments of India Ltd."/>
    <x v="4"/>
    <n v="1.73"/>
  </r>
  <r>
    <s v="Bharat Forge Ltd."/>
    <x v="4"/>
    <n v="1.68"/>
  </r>
  <r>
    <s v="Alkem Laboratories Ltd."/>
    <x v="0"/>
    <n v="1.6"/>
  </r>
  <r>
    <s v="Eternal Ltd."/>
    <x v="5"/>
    <n v="1.57"/>
  </r>
  <r>
    <s v="Indus Towers Ltd."/>
    <x v="6"/>
    <n v="1.57"/>
  </r>
  <r>
    <s v="One97 Communications Ltd."/>
    <x v="1"/>
    <n v="1.57"/>
  </r>
  <r>
    <s v="Indian Bank"/>
    <x v="1"/>
    <n v="1.55"/>
  </r>
  <r>
    <s v="Varun Beverages Ltd."/>
    <x v="7"/>
    <n v="1.46"/>
  </r>
  <r>
    <s v="GE Vernova T&amp;D India Ltd."/>
    <x v="8"/>
    <n v="1.44"/>
  </r>
  <r>
    <s v="Prestige Estates Projects Ltd."/>
    <x v="9"/>
    <n v="1.43"/>
  </r>
  <r>
    <s v="Gland Pharma Ltd."/>
    <x v="0"/>
    <n v="1.42"/>
  </r>
  <r>
    <s v="Vishal Mega Mart Ltd."/>
    <x v="5"/>
    <n v="1.32"/>
  </r>
  <r>
    <s v="Supreme Industries Ltd."/>
    <x v="2"/>
    <n v="1.31"/>
  </r>
  <r>
    <s v="Cummins India Ltd."/>
    <x v="4"/>
    <n v="1.3"/>
  </r>
  <r>
    <s v="APL Apollo Tubes Ltd."/>
    <x v="10"/>
    <n v="1.29"/>
  </r>
  <r>
    <s v="ICICI Lombard General Insurance Company Ltd."/>
    <x v="1"/>
    <n v="1.25"/>
  </r>
  <r>
    <s v="Lupin Ltd."/>
    <x v="0"/>
    <n v="1.24"/>
  </r>
  <r>
    <s v="NTPC Ltd."/>
    <x v="11"/>
    <n v="1.21"/>
  </r>
  <r>
    <s v="NLC India Ltd."/>
    <x v="11"/>
    <n v="1.17"/>
  </r>
  <r>
    <s v="HDB Financial Services Ltd."/>
    <x v="1"/>
    <n v="1.1599999999999999"/>
  </r>
  <r>
    <s v="Info Edge (India) Ltd."/>
    <x v="3"/>
    <n v="1.1200000000000001"/>
  </r>
  <r>
    <s v="Bharat Heavy Electricals Ltd."/>
    <x v="8"/>
    <n v="1.1000000000000001"/>
  </r>
  <r>
    <s v="The Indian Hotels Company Ltd."/>
    <x v="12"/>
    <n v="1.1000000000000001"/>
  </r>
  <r>
    <s v="Samvardhana Motherson International Ltd."/>
    <x v="4"/>
    <n v="1.0900000000000001"/>
  </r>
  <r>
    <s v="Torrent Power Ltd."/>
    <x v="11"/>
    <n v="1.0900000000000001"/>
  </r>
  <r>
    <s v="Ipca Laboratories Ltd."/>
    <x v="0"/>
    <n v="1.06"/>
  </r>
  <r>
    <s v="Jubilant FoodWorks Ltd."/>
    <x v="7"/>
    <n v="1.05"/>
  </r>
  <r>
    <s v="Bharat Electronics Ltd."/>
    <x v="8"/>
    <n v="1.03"/>
  </r>
  <r>
    <s v="Dalmia Bharat Ltd."/>
    <x v="9"/>
    <n v="1.02"/>
  </r>
  <r>
    <s v="HDFC Asset Management Company Ltd."/>
    <x v="1"/>
    <n v="1.02"/>
  </r>
  <r>
    <s v="Hyundai Motor India Ltd."/>
    <x v="4"/>
    <n v="1.01"/>
  </r>
  <r>
    <s v="NTPC Green Energy Ltd."/>
    <x v="11"/>
    <n v="0.99"/>
  </r>
  <r>
    <s v="Page Industries Ltd."/>
    <x v="13"/>
    <n v="0.99"/>
  </r>
  <r>
    <s v="FSN E-Commerce Ventures Ltd."/>
    <x v="5"/>
    <n v="0.99"/>
  </r>
  <r>
    <s v="Hindustan Petroleum Corporation Ltd."/>
    <x v="11"/>
    <n v="0.97"/>
  </r>
  <r>
    <s v="CG Power and Industrial Solutions Ltd."/>
    <x v="8"/>
    <n v="0.96"/>
  </r>
  <r>
    <s v="REC Ltd."/>
    <x v="1"/>
    <n v="0.95"/>
  </r>
  <r>
    <s v="United Breweries Ltd."/>
    <x v="7"/>
    <n v="0.94"/>
  </r>
  <r>
    <s v="Endurance Technologies Ltd."/>
    <x v="4"/>
    <n v="0.91"/>
  </r>
  <r>
    <s v="Schaeffler India Ltd."/>
    <x v="4"/>
    <n v="0.89"/>
  </r>
  <r>
    <s v="Interglobe Aviation Ltd."/>
    <x v="12"/>
    <n v="0.85"/>
  </r>
  <r>
    <s v="Gujarat Gas Ltd."/>
    <x v="11"/>
    <n v="0.83"/>
  </r>
  <r>
    <s v="Trent Ltd."/>
    <x v="5"/>
    <n v="0.83"/>
  </r>
  <r>
    <s v="Blue Star Ltd."/>
    <x v="2"/>
    <n v="0.81"/>
  </r>
  <r>
    <s v="Sundaram Finance Ltd."/>
    <x v="1"/>
    <n v="0.78"/>
  </r>
  <r>
    <s v="Union Bank Of India"/>
    <x v="1"/>
    <n v="0.77"/>
  </r>
  <r>
    <s v="Angel One Ltd."/>
    <x v="1"/>
    <n v="0.75"/>
  </r>
  <r>
    <s v="Mphasis Ltd."/>
    <x v="3"/>
    <n v="0.74"/>
  </r>
  <r>
    <s v="Mahindra &amp; Mahindra Financial Services Ltd."/>
    <x v="1"/>
    <n v="0.73"/>
  </r>
  <r>
    <s v="ZF Commercial Vehicle Control Systems India Ltd."/>
    <x v="4"/>
    <n v="0.73"/>
  </r>
  <r>
    <s v="Devyani International Ltd."/>
    <x v="7"/>
    <n v="0.71"/>
  </r>
  <r>
    <s v="Container Corporation Of India Ltd."/>
    <x v="14"/>
    <n v="0.7"/>
  </r>
  <r>
    <s v="Astral Ltd."/>
    <x v="2"/>
    <n v="0.69"/>
  </r>
  <r>
    <s v="Coromandel International Ltd."/>
    <x v="15"/>
    <n v="0.69"/>
  </r>
  <r>
    <s v="Hindustan Aeronautics Ltd."/>
    <x v="8"/>
    <n v="0.66"/>
  </r>
  <r>
    <s v="Balkrishna Industries Ltd."/>
    <x v="4"/>
    <n v="0.64"/>
  </r>
  <r>
    <s v="Gujarat Fluorochemicals Ltd."/>
    <x v="15"/>
    <n v="0.56999999999999995"/>
  </r>
  <r>
    <s v="Bata India Ltd."/>
    <x v="7"/>
    <n v="0.56000000000000005"/>
  </r>
  <r>
    <s v="Prudent Corporate Advisory Services Ltd."/>
    <x v="1"/>
    <n v="0.49"/>
  </r>
  <r>
    <s v="Timken India Ltd."/>
    <x v="4"/>
    <n v="0.49"/>
  </r>
  <r>
    <s v="JK Cement Ltd."/>
    <x v="9"/>
    <n v="0.48"/>
  </r>
  <r>
    <s v="Radico Khaitan Ltd."/>
    <x v="7"/>
    <n v="0.45"/>
  </r>
  <r>
    <s v="Bank Of India"/>
    <x v="1"/>
    <n v="0.45"/>
  </r>
  <r>
    <s v="3M India Ltd."/>
    <x v="16"/>
    <n v="0.45"/>
  </r>
  <r>
    <s v="NMDC Ltd."/>
    <x v="11"/>
    <n v="0.44"/>
  </r>
  <r>
    <s v="Crompton Greaves Consumer Electricals Ltd."/>
    <x v="2"/>
    <n v="0.44"/>
  </r>
  <r>
    <s v="Sundram Fasteners Ltd."/>
    <x v="4"/>
    <n v="0.41"/>
  </r>
  <r>
    <s v="Sanofi Consumer Healthcare India Ltd."/>
    <x v="0"/>
    <n v="0.4"/>
  </r>
  <r>
    <s v="Carborundum Universal Ltd."/>
    <x v="8"/>
    <n v="0.39"/>
  </r>
  <r>
    <s v="Swiggy Ltd."/>
    <x v="5"/>
    <n v="0.39"/>
  </r>
  <r>
    <s v="Glaxosmithkline Pharmaceuticals Ltd."/>
    <x v="0"/>
    <n v="0.38"/>
  </r>
  <r>
    <s v="Bayer CropScience Ltd."/>
    <x v="15"/>
    <n v="0.37"/>
  </r>
  <r>
    <s v="Indraprastha Gas Ltd."/>
    <x v="11"/>
    <n v="0.37"/>
  </r>
  <r>
    <s v="IndusInd Bank Ltd."/>
    <x v="1"/>
    <n v="0.32"/>
  </r>
  <r>
    <s v="Sona BLW Precision Forgings Ltd."/>
    <x v="4"/>
    <n v="0.31"/>
  </r>
  <r>
    <s v="Restaurant Brands Asia Ltd."/>
    <x v="5"/>
    <n v="0.3"/>
  </r>
  <r>
    <s v="Deepak Nitrite Ltd."/>
    <x v="15"/>
    <n v="0.28000000000000003"/>
  </r>
  <r>
    <s v="MTAR Technologies Ltd."/>
    <x v="8"/>
    <n v="0.27"/>
  </r>
  <r>
    <s v="Sanofi India Ltd."/>
    <x v="0"/>
    <n v="0.27"/>
  </r>
  <r>
    <s v="Hero MotoCorp Ltd."/>
    <x v="4"/>
    <n v="0.24"/>
  </r>
  <r>
    <s v="Tata Communications Ltd."/>
    <x v="6"/>
    <n v="0.24"/>
  </r>
  <r>
    <s v="Apar Industries Ltd."/>
    <x v="8"/>
    <n v="0.18"/>
  </r>
  <r>
    <s v="Globsyn Technologies Limited"/>
    <x v="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3599F-9417-4D7B-9C8E-38F8853F95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D2:E20" firstHeaderRow="1" firstDataRow="1" firstDataCol="1"/>
  <pivotFields count="3">
    <pivotField showAll="0"/>
    <pivotField axis="axisRow" showAll="0" sortType="descending">
      <items count="18">
        <item x="4"/>
        <item x="8"/>
        <item x="15"/>
        <item x="9"/>
        <item x="2"/>
        <item x="16"/>
        <item x="11"/>
        <item x="1"/>
        <item x="7"/>
        <item x="0"/>
        <item x="14"/>
        <item x="6"/>
        <item x="10"/>
        <item x="5"/>
        <item x="3"/>
        <item x="13"/>
        <item x="12"/>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8">
    <i>
      <x v="7"/>
    </i>
    <i>
      <x/>
    </i>
    <i>
      <x v="9"/>
    </i>
    <i>
      <x v="4"/>
    </i>
    <i>
      <x v="6"/>
    </i>
    <i>
      <x v="1"/>
    </i>
    <i>
      <x v="13"/>
    </i>
    <i>
      <x v="8"/>
    </i>
    <i>
      <x v="14"/>
    </i>
    <i>
      <x v="3"/>
    </i>
    <i>
      <x v="16"/>
    </i>
    <i>
      <x v="2"/>
    </i>
    <i>
      <x v="11"/>
    </i>
    <i>
      <x v="12"/>
    </i>
    <i>
      <x v="15"/>
    </i>
    <i>
      <x v="10"/>
    </i>
    <i>
      <x v="5"/>
    </i>
    <i t="grand">
      <x/>
    </i>
  </rowItems>
  <colItems count="1">
    <i/>
  </colItems>
  <dataFields count="1">
    <dataField name="Sector Allocation (%)" fld="2" baseField="1" baseItem="0"/>
  </dataFields>
  <formats count="2">
    <format dxfId="3">
      <pivotArea collapsedLevelsAreSubtotals="1" fieldPosition="0">
        <references count="1">
          <reference field="1" count="0"/>
        </references>
      </pivotArea>
    </format>
    <format dxfId="2">
      <pivotArea dataOnly="0" labelOnly="1" outline="0" axis="axisValues" fieldPosition="0"/>
    </format>
  </formats>
  <chartFormats count="19">
    <chartFormat chart="4" format="2" series="1">
      <pivotArea type="data" outline="0" fieldPosition="0">
        <references count="1">
          <reference field="4294967294" count="1" selected="0">
            <x v="0"/>
          </reference>
        </references>
      </pivotArea>
    </chartFormat>
    <chartFormat chart="45" format="19" series="1">
      <pivotArea type="data" outline="0" fieldPosition="0">
        <references count="1">
          <reference field="4294967294" count="1" selected="0">
            <x v="0"/>
          </reference>
        </references>
      </pivotArea>
    </chartFormat>
    <chartFormat chart="45" format="20">
      <pivotArea type="data" outline="0" fieldPosition="0">
        <references count="2">
          <reference field="4294967294" count="1" selected="0">
            <x v="0"/>
          </reference>
          <reference field="1" count="1" selected="0">
            <x v="7"/>
          </reference>
        </references>
      </pivotArea>
    </chartFormat>
    <chartFormat chart="45" format="21">
      <pivotArea type="data" outline="0" fieldPosition="0">
        <references count="2">
          <reference field="4294967294" count="1" selected="0">
            <x v="0"/>
          </reference>
          <reference field="1" count="1" selected="0">
            <x v="0"/>
          </reference>
        </references>
      </pivotArea>
    </chartFormat>
    <chartFormat chart="45" format="22">
      <pivotArea type="data" outline="0" fieldPosition="0">
        <references count="2">
          <reference field="4294967294" count="1" selected="0">
            <x v="0"/>
          </reference>
          <reference field="1" count="1" selected="0">
            <x v="9"/>
          </reference>
        </references>
      </pivotArea>
    </chartFormat>
    <chartFormat chart="45" format="23">
      <pivotArea type="data" outline="0" fieldPosition="0">
        <references count="2">
          <reference field="4294967294" count="1" selected="0">
            <x v="0"/>
          </reference>
          <reference field="1" count="1" selected="0">
            <x v="4"/>
          </reference>
        </references>
      </pivotArea>
    </chartFormat>
    <chartFormat chart="45" format="24">
      <pivotArea type="data" outline="0" fieldPosition="0">
        <references count="2">
          <reference field="4294967294" count="1" selected="0">
            <x v="0"/>
          </reference>
          <reference field="1" count="1" selected="0">
            <x v="6"/>
          </reference>
        </references>
      </pivotArea>
    </chartFormat>
    <chartFormat chart="45" format="25">
      <pivotArea type="data" outline="0" fieldPosition="0">
        <references count="2">
          <reference field="4294967294" count="1" selected="0">
            <x v="0"/>
          </reference>
          <reference field="1" count="1" selected="0">
            <x v="1"/>
          </reference>
        </references>
      </pivotArea>
    </chartFormat>
    <chartFormat chart="45" format="26">
      <pivotArea type="data" outline="0" fieldPosition="0">
        <references count="2">
          <reference field="4294967294" count="1" selected="0">
            <x v="0"/>
          </reference>
          <reference field="1" count="1" selected="0">
            <x v="13"/>
          </reference>
        </references>
      </pivotArea>
    </chartFormat>
    <chartFormat chart="45" format="27">
      <pivotArea type="data" outline="0" fieldPosition="0">
        <references count="2">
          <reference field="4294967294" count="1" selected="0">
            <x v="0"/>
          </reference>
          <reference field="1" count="1" selected="0">
            <x v="8"/>
          </reference>
        </references>
      </pivotArea>
    </chartFormat>
    <chartFormat chart="45" format="28">
      <pivotArea type="data" outline="0" fieldPosition="0">
        <references count="2">
          <reference field="4294967294" count="1" selected="0">
            <x v="0"/>
          </reference>
          <reference field="1" count="1" selected="0">
            <x v="14"/>
          </reference>
        </references>
      </pivotArea>
    </chartFormat>
    <chartFormat chart="45" format="29">
      <pivotArea type="data" outline="0" fieldPosition="0">
        <references count="2">
          <reference field="4294967294" count="1" selected="0">
            <x v="0"/>
          </reference>
          <reference field="1" count="1" selected="0">
            <x v="3"/>
          </reference>
        </references>
      </pivotArea>
    </chartFormat>
    <chartFormat chart="45" format="30">
      <pivotArea type="data" outline="0" fieldPosition="0">
        <references count="2">
          <reference field="4294967294" count="1" selected="0">
            <x v="0"/>
          </reference>
          <reference field="1" count="1" selected="0">
            <x v="16"/>
          </reference>
        </references>
      </pivotArea>
    </chartFormat>
    <chartFormat chart="45" format="31">
      <pivotArea type="data" outline="0" fieldPosition="0">
        <references count="2">
          <reference field="4294967294" count="1" selected="0">
            <x v="0"/>
          </reference>
          <reference field="1" count="1" selected="0">
            <x v="2"/>
          </reference>
        </references>
      </pivotArea>
    </chartFormat>
    <chartFormat chart="45" format="32">
      <pivotArea type="data" outline="0" fieldPosition="0">
        <references count="2">
          <reference field="4294967294" count="1" selected="0">
            <x v="0"/>
          </reference>
          <reference field="1" count="1" selected="0">
            <x v="11"/>
          </reference>
        </references>
      </pivotArea>
    </chartFormat>
    <chartFormat chart="45" format="33">
      <pivotArea type="data" outline="0" fieldPosition="0">
        <references count="2">
          <reference field="4294967294" count="1" selected="0">
            <x v="0"/>
          </reference>
          <reference field="1" count="1" selected="0">
            <x v="12"/>
          </reference>
        </references>
      </pivotArea>
    </chartFormat>
    <chartFormat chart="45" format="34">
      <pivotArea type="data" outline="0" fieldPosition="0">
        <references count="2">
          <reference field="4294967294" count="1" selected="0">
            <x v="0"/>
          </reference>
          <reference field="1" count="1" selected="0">
            <x v="15"/>
          </reference>
        </references>
      </pivotArea>
    </chartFormat>
    <chartFormat chart="45" format="35">
      <pivotArea type="data" outline="0" fieldPosition="0">
        <references count="2">
          <reference field="4294967294" count="1" selected="0">
            <x v="0"/>
          </reference>
          <reference field="1" count="1" selected="0">
            <x v="10"/>
          </reference>
        </references>
      </pivotArea>
    </chartFormat>
    <chartFormat chart="45" format="3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 dT="2025-10-26T11:44:08.17" personId="{2D18AD22-644C-4516-9DC1-3A546D1C903F}" id="{B266FA62-5024-48F6-BCA5-84722D8741EB}">
    <text>Kindly  check the checklist on googledrive</text>
  </threadedComment>
  <threadedComment ref="I8" dT="2025-10-26T13:55:55.61" personId="{2D18AD22-644C-4516-9DC1-3A546D1C903F}" id="{24DFCE85-1B43-4A77-955A-2A86D9B37718}">
    <text xml:space="preserve"> Morningstar,RupeeVast, Partciuar funs that u r working already opened,click on portfolio</text>
  </threadedComment>
  <threadedComment ref="I67" dT="2025-10-28T17:23:23.18" personId="{2D18AD22-644C-4516-9DC1-3A546D1C903F}" id="{8CF804F7-1FD9-49FE-AF63-2735D14CF202}">
    <text>How I did it since NAV was not available in order to find RRI.I cal manually by finding PV,FV from websites then using formula of RRI.</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5-10-26T17:01:52.27" personId="{2D18AD22-644C-4516-9DC1-3A546D1C903F}" id="{4CC52378-38CD-42BB-A515-D98299F7CE83}">
    <text xml:space="preserve">A pivot table is a data summarization tool that analyzes and aggregates large datasets from a more extensive table. It allows you to quickly calculate, summarize, and analyze data by reorganizing and "pivoting" it, helping you spot trends and comparisons without writing complex formulas. You can use it to count, average, or sum data and can easily change the view by dragging and dropping fields.  </text>
  </threadedComment>
</ThreadedComments>
</file>

<file path=xl/threadedComments/threadedComment3.xml><?xml version="1.0" encoding="utf-8"?>
<ThreadedComments xmlns="http://schemas.microsoft.com/office/spreadsheetml/2018/threadedcomments" xmlns:x="http://schemas.openxmlformats.org/spreadsheetml/2006/main">
  <threadedComment ref="F38" dT="2025-10-28T10:05:30.84" personId="{2D18AD22-644C-4516-9DC1-3A546D1C903F}" id="{27B91830-7333-4744-B581-D8DF442352DA}">
    <text>Here we have taken Motilal Oswal Nifty Midcap 150 Dir ETF for comparison</text>
  </threadedComment>
  <threadedComment ref="O38" dT="2025-10-28T10:05:30.84" personId="{2D18AD22-644C-4516-9DC1-3A546D1C903F}" id="{50CABED2-73FB-470E-9DE4-AD9FE2F4D638}">
    <text>Here we have taken Motilal Oswal Nifty Midcap 150 Dir ETF for comparison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rupeevest.com/Mutual-Fund-Holdings/208280" TargetMode="External"/><Relationship Id="rId21" Type="http://schemas.openxmlformats.org/officeDocument/2006/relationships/hyperlink" Target="https://www.rupeevest.com/Mutual-Fund-Holdings/132779" TargetMode="External"/><Relationship Id="rId42" Type="http://schemas.openxmlformats.org/officeDocument/2006/relationships/hyperlink" Target="https://www.rupeevest.com/Mutual-Fund-Holdings/132477" TargetMode="External"/><Relationship Id="rId47" Type="http://schemas.openxmlformats.org/officeDocument/2006/relationships/hyperlink" Target="https://www.rupeevest.com/Mutual-Fund-Holdings/208045" TargetMode="External"/><Relationship Id="rId63" Type="http://schemas.openxmlformats.org/officeDocument/2006/relationships/hyperlink" Target="https://www.rupeevest.com/Mutual-Fund-Holdings/100403" TargetMode="External"/><Relationship Id="rId68" Type="http://schemas.openxmlformats.org/officeDocument/2006/relationships/hyperlink" Target="https://www.rupeevest.com/Mutual-Fund-Holdings/106285" TargetMode="External"/><Relationship Id="rId16" Type="http://schemas.openxmlformats.org/officeDocument/2006/relationships/hyperlink" Target="https://www.rupeevest.com/Mutual-Fund-Holdings/218756" TargetMode="External"/><Relationship Id="rId11" Type="http://schemas.openxmlformats.org/officeDocument/2006/relationships/hyperlink" Target="https://www.rupeevest.com/Mutual-Fund-Holdings/190059" TargetMode="External"/><Relationship Id="rId32" Type="http://schemas.openxmlformats.org/officeDocument/2006/relationships/hyperlink" Target="https://www.rupeevest.com/Mutual-Fund-Holdings/100093" TargetMode="External"/><Relationship Id="rId37" Type="http://schemas.openxmlformats.org/officeDocument/2006/relationships/hyperlink" Target="https://www.rupeevest.com/Mutual-Fund-Holdings/222055" TargetMode="External"/><Relationship Id="rId53" Type="http://schemas.openxmlformats.org/officeDocument/2006/relationships/hyperlink" Target="https://www.rupeevest.com/Mutual-Fund-Holdings/295872" TargetMode="External"/><Relationship Id="rId58" Type="http://schemas.openxmlformats.org/officeDocument/2006/relationships/hyperlink" Target="https://www.rupeevest.com/Mutual-Fund-Holdings/132497" TargetMode="External"/><Relationship Id="rId74" Type="http://schemas.openxmlformats.org/officeDocument/2006/relationships/hyperlink" Target="https://www.rupeevest.com/Mutual-Fund-Holdings/208763" TargetMode="External"/><Relationship Id="rId79" Type="http://schemas.openxmlformats.org/officeDocument/2006/relationships/printerSettings" Target="../printerSettings/printerSettings2.bin"/><Relationship Id="rId5" Type="http://schemas.openxmlformats.org/officeDocument/2006/relationships/hyperlink" Target="https://www.rupeevest.com/Mutual-Fund-Holdings/122275" TargetMode="External"/><Relationship Id="rId61" Type="http://schemas.openxmlformats.org/officeDocument/2006/relationships/hyperlink" Target="https://www.rupeevest.com/Mutual-Fund-Holdings/126371" TargetMode="External"/><Relationship Id="rId82" Type="http://schemas.openxmlformats.org/officeDocument/2006/relationships/comments" Target="../comments2.xml"/><Relationship Id="rId19" Type="http://schemas.openxmlformats.org/officeDocument/2006/relationships/hyperlink" Target="https://www.rupeevest.com/Mutual-Fund-Holdings/100850" TargetMode="External"/><Relationship Id="rId14" Type="http://schemas.openxmlformats.org/officeDocument/2006/relationships/hyperlink" Target="https://www.rupeevest.com/Mutual-Fund-Holdings/132555" TargetMode="External"/><Relationship Id="rId22" Type="http://schemas.openxmlformats.org/officeDocument/2006/relationships/hyperlink" Target="https://www.rupeevest.com/Mutual-Fund-Holdings/124494" TargetMode="External"/><Relationship Id="rId27" Type="http://schemas.openxmlformats.org/officeDocument/2006/relationships/hyperlink" Target="https://www.rupeevest.com/Mutual-Fund-Holdings/208361" TargetMode="External"/><Relationship Id="rId30" Type="http://schemas.openxmlformats.org/officeDocument/2006/relationships/hyperlink" Target="https://www.rupeevest.com/Mutual-Fund-Holdings/302988" TargetMode="External"/><Relationship Id="rId35" Type="http://schemas.openxmlformats.org/officeDocument/2006/relationships/hyperlink" Target="https://www.rupeevest.com/Mutual-Fund-Holdings/215477" TargetMode="External"/><Relationship Id="rId43" Type="http://schemas.openxmlformats.org/officeDocument/2006/relationships/hyperlink" Target="https://www.rupeevest.com/Mutual-Fund-Holdings/209902" TargetMode="External"/><Relationship Id="rId48" Type="http://schemas.openxmlformats.org/officeDocument/2006/relationships/hyperlink" Target="https://www.rupeevest.com/Mutual-Fund-Holdings/131344" TargetMode="External"/><Relationship Id="rId56" Type="http://schemas.openxmlformats.org/officeDocument/2006/relationships/hyperlink" Target="https://www.rupeevest.com/Mutual-Fund-Holdings/122113" TargetMode="External"/><Relationship Id="rId64" Type="http://schemas.openxmlformats.org/officeDocument/2006/relationships/hyperlink" Target="https://www.rupeevest.com/Mutual-Fund-Holdings/315602" TargetMode="External"/><Relationship Id="rId69" Type="http://schemas.openxmlformats.org/officeDocument/2006/relationships/hyperlink" Target="https://www.rupeevest.com/Mutual-Fund-Holdings/132514" TargetMode="External"/><Relationship Id="rId77" Type="http://schemas.openxmlformats.org/officeDocument/2006/relationships/hyperlink" Target="https://www.rupeevest.com/Mutual-Fund-Holdings/100483" TargetMode="External"/><Relationship Id="rId8" Type="http://schemas.openxmlformats.org/officeDocument/2006/relationships/hyperlink" Target="https://www.rupeevest.com/Mutual-Fund-Holdings/317635" TargetMode="External"/><Relationship Id="rId51" Type="http://schemas.openxmlformats.org/officeDocument/2006/relationships/hyperlink" Target="https://www.rupeevest.com/Mutual-Fund-Holdings/219494" TargetMode="External"/><Relationship Id="rId72" Type="http://schemas.openxmlformats.org/officeDocument/2006/relationships/hyperlink" Target="https://www.rupeevest.com/Mutual-Fund-Holdings/296214" TargetMode="External"/><Relationship Id="rId80" Type="http://schemas.openxmlformats.org/officeDocument/2006/relationships/drawing" Target="../drawings/drawing2.xml"/><Relationship Id="rId3" Type="http://schemas.openxmlformats.org/officeDocument/2006/relationships/hyperlink" Target="https://www.rupeevest.com/Mutual-Fund-Holdings/132814" TargetMode="External"/><Relationship Id="rId12" Type="http://schemas.openxmlformats.org/officeDocument/2006/relationships/hyperlink" Target="https://www.rupeevest.com/Mutual-Fund-Holdings/217379" TargetMode="External"/><Relationship Id="rId17" Type="http://schemas.openxmlformats.org/officeDocument/2006/relationships/hyperlink" Target="https://www.rupeevest.com/Mutual-Fund-Holdings/132777" TargetMode="External"/><Relationship Id="rId25" Type="http://schemas.openxmlformats.org/officeDocument/2006/relationships/hyperlink" Target="https://www.rupeevest.com/Mutual-Fund-Holdings/293380" TargetMode="External"/><Relationship Id="rId33" Type="http://schemas.openxmlformats.org/officeDocument/2006/relationships/hyperlink" Target="https://www.rupeevest.com/Mutual-Fund-Holdings/200055" TargetMode="External"/><Relationship Id="rId38" Type="http://schemas.openxmlformats.org/officeDocument/2006/relationships/hyperlink" Target="https://www.rupeevest.com/Mutual-Fund-Holdings/249927" TargetMode="External"/><Relationship Id="rId46" Type="http://schemas.openxmlformats.org/officeDocument/2006/relationships/hyperlink" Target="https://www.rupeevest.com/Mutual-Fund-Holdings/200515" TargetMode="External"/><Relationship Id="rId59" Type="http://schemas.openxmlformats.org/officeDocument/2006/relationships/hyperlink" Target="https://www.rupeevest.com/Mutual-Fund-Holdings/132149" TargetMode="External"/><Relationship Id="rId67" Type="http://schemas.openxmlformats.org/officeDocument/2006/relationships/hyperlink" Target="https://www.rupeevest.com/Mutual-Fund-Holdings/100660" TargetMode="External"/><Relationship Id="rId20" Type="http://schemas.openxmlformats.org/officeDocument/2006/relationships/hyperlink" Target="https://www.rupeevest.com/Mutual-Fund-Holdings/117334" TargetMode="External"/><Relationship Id="rId41" Type="http://schemas.openxmlformats.org/officeDocument/2006/relationships/hyperlink" Target="https://www.rupeevest.com/Mutual-Fund-Holdings/190071" TargetMode="External"/><Relationship Id="rId54" Type="http://schemas.openxmlformats.org/officeDocument/2006/relationships/hyperlink" Target="https://www.rupeevest.com/Mutual-Fund-Holdings/100043" TargetMode="External"/><Relationship Id="rId62" Type="http://schemas.openxmlformats.org/officeDocument/2006/relationships/hyperlink" Target="https://www.rupeevest.com/Mutual-Fund-Holdings/280713" TargetMode="External"/><Relationship Id="rId70" Type="http://schemas.openxmlformats.org/officeDocument/2006/relationships/hyperlink" Target="https://www.rupeevest.com/Mutual-Fund-Holdings/132187" TargetMode="External"/><Relationship Id="rId75" Type="http://schemas.openxmlformats.org/officeDocument/2006/relationships/hyperlink" Target="https://www.rupeevest.com/Mutual-Fund-Holdings/100674" TargetMode="External"/><Relationship Id="rId83" Type="http://schemas.microsoft.com/office/2017/10/relationships/threadedComment" Target="../threadedComments/threadedComment2.xml"/><Relationship Id="rId1" Type="http://schemas.openxmlformats.org/officeDocument/2006/relationships/pivotTable" Target="../pivotTables/pivotTable1.xml"/><Relationship Id="rId6" Type="http://schemas.openxmlformats.org/officeDocument/2006/relationships/hyperlink" Target="https://www.rupeevest.com/Mutual-Fund-Holdings/213838" TargetMode="External"/><Relationship Id="rId15" Type="http://schemas.openxmlformats.org/officeDocument/2006/relationships/hyperlink" Target="https://www.rupeevest.com/Mutual-Fund-Holdings/113683" TargetMode="External"/><Relationship Id="rId23" Type="http://schemas.openxmlformats.org/officeDocument/2006/relationships/hyperlink" Target="https://www.rupeevest.com/Mutual-Fund-Holdings/215367" TargetMode="External"/><Relationship Id="rId28" Type="http://schemas.openxmlformats.org/officeDocument/2006/relationships/hyperlink" Target="https://www.rupeevest.com/Mutual-Fund-Holdings/317139" TargetMode="External"/><Relationship Id="rId36" Type="http://schemas.openxmlformats.org/officeDocument/2006/relationships/hyperlink" Target="https://www.rupeevest.com/Mutual-Fund-Holdings/105790" TargetMode="External"/><Relationship Id="rId49" Type="http://schemas.openxmlformats.org/officeDocument/2006/relationships/hyperlink" Target="https://www.rupeevest.com/Mutual-Fund-Holdings/132830" TargetMode="External"/><Relationship Id="rId57" Type="http://schemas.openxmlformats.org/officeDocument/2006/relationships/hyperlink" Target="https://www.rupeevest.com/Mutual-Fund-Holdings/132644" TargetMode="External"/><Relationship Id="rId10" Type="http://schemas.openxmlformats.org/officeDocument/2006/relationships/hyperlink" Target="https://www.rupeevest.com/Mutual-Fund-Holdings/100480" TargetMode="External"/><Relationship Id="rId31" Type="http://schemas.openxmlformats.org/officeDocument/2006/relationships/hyperlink" Target="https://www.rupeevest.com/Mutual-Fund-Holdings/100104" TargetMode="External"/><Relationship Id="rId44" Type="http://schemas.openxmlformats.org/officeDocument/2006/relationships/hyperlink" Target="https://www.rupeevest.com/Mutual-Fund-Holdings/126299" TargetMode="External"/><Relationship Id="rId52" Type="http://schemas.openxmlformats.org/officeDocument/2006/relationships/hyperlink" Target="https://www.rupeevest.com/Mutual-Fund-Holdings/102355" TargetMode="External"/><Relationship Id="rId60" Type="http://schemas.openxmlformats.org/officeDocument/2006/relationships/hyperlink" Target="https://www.rupeevest.com/Mutual-Fund-Holdings/123395" TargetMode="External"/><Relationship Id="rId65" Type="http://schemas.openxmlformats.org/officeDocument/2006/relationships/hyperlink" Target="https://www.rupeevest.com/Mutual-Fund-Holdings/113375" TargetMode="External"/><Relationship Id="rId73" Type="http://schemas.openxmlformats.org/officeDocument/2006/relationships/hyperlink" Target="https://www.rupeevest.com/Mutual-Fund-Holdings/106401" TargetMode="External"/><Relationship Id="rId78" Type="http://schemas.openxmlformats.org/officeDocument/2006/relationships/hyperlink" Target="https://www.rupeevest.com/Mutual-Fund-Holdings/132259" TargetMode="External"/><Relationship Id="rId81" Type="http://schemas.openxmlformats.org/officeDocument/2006/relationships/vmlDrawing" Target="../drawings/vmlDrawing2.vml"/><Relationship Id="rId4" Type="http://schemas.openxmlformats.org/officeDocument/2006/relationships/hyperlink" Target="https://www.rupeevest.com/Mutual-Fund-Holdings/209550" TargetMode="External"/><Relationship Id="rId9" Type="http://schemas.openxmlformats.org/officeDocument/2006/relationships/hyperlink" Target="https://www.rupeevest.com/Mutual-Fund-Holdings/109930" TargetMode="External"/><Relationship Id="rId13" Type="http://schemas.openxmlformats.org/officeDocument/2006/relationships/hyperlink" Target="https://www.rupeevest.com/Mutual-Fund-Holdings/100257" TargetMode="External"/><Relationship Id="rId18" Type="http://schemas.openxmlformats.org/officeDocument/2006/relationships/hyperlink" Target="https://www.rupeevest.com/Mutual-Fund-Holdings/100103" TargetMode="External"/><Relationship Id="rId39" Type="http://schemas.openxmlformats.org/officeDocument/2006/relationships/hyperlink" Target="https://www.rupeevest.com/Mutual-Fund-Holdings/100251" TargetMode="External"/><Relationship Id="rId34" Type="http://schemas.openxmlformats.org/officeDocument/2006/relationships/hyperlink" Target="https://www.rupeevest.com/Mutual-Fund-Holdings/132478" TargetMode="External"/><Relationship Id="rId50" Type="http://schemas.openxmlformats.org/officeDocument/2006/relationships/hyperlink" Target="https://www.rupeevest.com/Mutual-Fund-Holdings/106395" TargetMode="External"/><Relationship Id="rId55" Type="http://schemas.openxmlformats.org/officeDocument/2006/relationships/hyperlink" Target="https://www.rupeevest.com/Mutual-Fund-Holdings/303180" TargetMode="External"/><Relationship Id="rId76" Type="http://schemas.openxmlformats.org/officeDocument/2006/relationships/hyperlink" Target="https://www.rupeevest.com/Mutual-Fund-Holdings/100182" TargetMode="External"/><Relationship Id="rId7" Type="http://schemas.openxmlformats.org/officeDocument/2006/relationships/hyperlink" Target="https://www.rupeevest.com/Mutual-Fund-Holdings/235355" TargetMode="External"/><Relationship Id="rId71" Type="http://schemas.openxmlformats.org/officeDocument/2006/relationships/hyperlink" Target="https://www.rupeevest.com/Mutual-Fund-Holdings/214179" TargetMode="External"/><Relationship Id="rId2" Type="http://schemas.openxmlformats.org/officeDocument/2006/relationships/hyperlink" Target="https://www.rupeevest.com/Mutual-Fund-Holdings/208883" TargetMode="External"/><Relationship Id="rId29" Type="http://schemas.openxmlformats.org/officeDocument/2006/relationships/hyperlink" Target="https://www.rupeevest.com/Mutual-Fund-Holdings/132827" TargetMode="External"/><Relationship Id="rId24" Type="http://schemas.openxmlformats.org/officeDocument/2006/relationships/hyperlink" Target="https://www.rupeevest.com/Mutual-Fund-Holdings/100049" TargetMode="External"/><Relationship Id="rId40" Type="http://schemas.openxmlformats.org/officeDocument/2006/relationships/hyperlink" Target="https://www.rupeevest.com/Mutual-Fund-Holdings/100067" TargetMode="External"/><Relationship Id="rId45" Type="http://schemas.openxmlformats.org/officeDocument/2006/relationships/hyperlink" Target="https://www.rupeevest.com/Mutual-Fund-Holdings/132720" TargetMode="External"/><Relationship Id="rId66" Type="http://schemas.openxmlformats.org/officeDocument/2006/relationships/hyperlink" Target="https://www.rupeevest.com/Mutual-Fund-Holdings/293862"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FF6E-7F52-4572-BF1C-0FDCDB5CE053}">
  <sheetPr>
    <pageSetUpPr fitToPage="1"/>
  </sheetPr>
  <dimension ref="A1:AG175"/>
  <sheetViews>
    <sheetView showGridLines="0" topLeftCell="A6" zoomScaleNormal="100" workbookViewId="0">
      <selection activeCell="L186" sqref="L186"/>
    </sheetView>
  </sheetViews>
  <sheetFormatPr defaultRowHeight="13.8"/>
  <cols>
    <col min="1" max="1" width="26" style="4" customWidth="1"/>
    <col min="2" max="2" width="1.6640625" style="1" customWidth="1"/>
    <col min="3" max="3" width="10.33203125" style="1" customWidth="1"/>
    <col min="4" max="5" width="8.88671875" style="1"/>
    <col min="6" max="6" width="11" style="1" customWidth="1"/>
    <col min="7" max="7" width="9.21875" style="1" bestFit="1" customWidth="1"/>
    <col min="8" max="8" width="1.33203125" style="1" customWidth="1"/>
    <col min="9" max="10" width="11" style="1" bestFit="1" customWidth="1"/>
    <col min="11" max="11" width="9.44140625" style="1" customWidth="1"/>
    <col min="12" max="12" width="11" style="1" bestFit="1" customWidth="1"/>
    <col min="13" max="13" width="10.5546875" style="1" customWidth="1"/>
    <col min="14" max="14" width="1.6640625" style="6" customWidth="1"/>
    <col min="15" max="29" width="8.88671875" style="3"/>
    <col min="30" max="33" width="8.88671875" style="5"/>
    <col min="34" max="16384" width="8.88671875" style="1"/>
  </cols>
  <sheetData>
    <row r="1" spans="1:33" ht="1.8" customHeight="1"/>
    <row r="2" spans="1:33" ht="14.4" customHeight="1">
      <c r="B2" s="12" t="s">
        <v>3</v>
      </c>
      <c r="C2" s="12"/>
      <c r="D2" s="12"/>
      <c r="E2" s="13"/>
    </row>
    <row r="3" spans="1:33" ht="13.8" customHeight="1">
      <c r="B3" s="14"/>
      <c r="C3" s="14"/>
      <c r="D3" s="14"/>
      <c r="E3" s="87"/>
      <c r="F3" s="87"/>
      <c r="G3" s="87"/>
      <c r="H3" s="87"/>
      <c r="I3" s="87"/>
      <c r="J3" s="87"/>
      <c r="K3" s="87"/>
      <c r="L3" s="87"/>
      <c r="M3" s="87"/>
      <c r="N3" s="15"/>
    </row>
    <row r="4" spans="1:33" s="11" customFormat="1" ht="24" customHeight="1">
      <c r="A4" s="8"/>
      <c r="B4" s="125" t="s">
        <v>0</v>
      </c>
      <c r="C4" s="125"/>
      <c r="D4" s="125"/>
      <c r="E4" s="125"/>
      <c r="F4" s="125"/>
      <c r="G4" s="125"/>
      <c r="H4" s="125"/>
      <c r="I4" s="125"/>
      <c r="J4" s="125"/>
      <c r="K4" s="125"/>
      <c r="L4" s="125"/>
      <c r="M4" s="125"/>
      <c r="N4" s="125"/>
      <c r="O4" s="9"/>
      <c r="P4" s="9"/>
      <c r="Q4" s="9"/>
      <c r="R4" s="9"/>
      <c r="S4" s="9"/>
      <c r="T4" s="9"/>
      <c r="U4" s="9"/>
      <c r="V4" s="9"/>
      <c r="W4" s="9"/>
      <c r="X4" s="9"/>
      <c r="Y4" s="9"/>
      <c r="Z4" s="9"/>
      <c r="AA4" s="9"/>
      <c r="AB4" s="9"/>
      <c r="AC4" s="9"/>
      <c r="AD4" s="10"/>
      <c r="AE4" s="10"/>
      <c r="AF4" s="10"/>
      <c r="AG4" s="10"/>
    </row>
    <row r="5" spans="1:33" ht="13.8" customHeight="1">
      <c r="B5" s="126" t="s">
        <v>2</v>
      </c>
      <c r="C5" s="126"/>
      <c r="D5" s="126"/>
      <c r="E5" s="126"/>
      <c r="F5" s="126"/>
      <c r="G5" s="126"/>
      <c r="H5" s="126"/>
      <c r="I5" s="126"/>
      <c r="J5" s="126"/>
      <c r="K5" s="126"/>
      <c r="L5" s="126"/>
      <c r="M5" s="126"/>
      <c r="N5" s="126"/>
    </row>
    <row r="6" spans="1:33" ht="5.4" customHeight="1">
      <c r="B6" s="127"/>
      <c r="C6" s="127"/>
      <c r="D6" s="127"/>
      <c r="E6" s="127"/>
      <c r="F6" s="127"/>
      <c r="G6" s="127"/>
      <c r="H6" s="127"/>
      <c r="I6" s="127"/>
      <c r="J6" s="127"/>
      <c r="K6" s="127"/>
      <c r="L6" s="127"/>
      <c r="M6" s="127"/>
      <c r="N6" s="127"/>
    </row>
    <row r="7" spans="1:33" ht="4.2" customHeight="1"/>
    <row r="8" spans="1:33">
      <c r="C8" s="128" t="s">
        <v>18</v>
      </c>
      <c r="D8" s="129"/>
      <c r="E8" s="129"/>
      <c r="F8" s="129"/>
      <c r="G8" s="129"/>
      <c r="I8" s="128" t="s">
        <v>22</v>
      </c>
      <c r="J8" s="128"/>
      <c r="K8" s="128"/>
      <c r="L8" s="128"/>
      <c r="M8" s="128"/>
    </row>
    <row r="9" spans="1:33" ht="14.4">
      <c r="C9" s="52"/>
      <c r="D9" s="52"/>
      <c r="E9" s="52"/>
      <c r="F9" s="52"/>
      <c r="G9" s="52"/>
      <c r="H9" s="52"/>
      <c r="I9" s="53" t="s">
        <v>24</v>
      </c>
      <c r="J9" s="53"/>
      <c r="K9" s="53"/>
      <c r="L9" s="53" t="s">
        <v>1</v>
      </c>
      <c r="M9" s="54">
        <v>3.34</v>
      </c>
      <c r="N9" s="18"/>
    </row>
    <row r="10" spans="1:33" ht="14.4">
      <c r="C10" s="55" t="s">
        <v>4</v>
      </c>
      <c r="D10" s="55"/>
      <c r="E10" s="55"/>
      <c r="F10" s="55"/>
      <c r="G10" s="56">
        <v>41275</v>
      </c>
      <c r="H10" s="52"/>
      <c r="I10" s="57" t="s">
        <v>26</v>
      </c>
      <c r="J10" s="57"/>
      <c r="K10" s="57"/>
      <c r="L10" s="58"/>
      <c r="M10" s="59">
        <v>2.65</v>
      </c>
      <c r="N10" s="18"/>
    </row>
    <row r="11" spans="1:33" ht="14.4">
      <c r="C11" s="55" t="s">
        <v>10</v>
      </c>
      <c r="D11" s="55"/>
      <c r="E11" s="55"/>
      <c r="F11" s="55"/>
      <c r="G11" s="60">
        <v>39329</v>
      </c>
      <c r="H11" s="61"/>
      <c r="I11" s="53" t="s">
        <v>28</v>
      </c>
      <c r="J11" s="53"/>
      <c r="K11" s="53"/>
      <c r="L11" s="62"/>
      <c r="M11" s="54">
        <v>2.56</v>
      </c>
      <c r="N11" s="18"/>
    </row>
    <row r="12" spans="1:33" ht="14.4">
      <c r="C12" s="55" t="s">
        <v>6</v>
      </c>
      <c r="D12" s="55"/>
      <c r="E12" s="55"/>
      <c r="F12" s="55"/>
      <c r="G12" s="63" t="s">
        <v>11</v>
      </c>
      <c r="H12" s="52"/>
      <c r="I12" s="57" t="s">
        <v>29</v>
      </c>
      <c r="J12" s="57"/>
      <c r="K12" s="57"/>
      <c r="L12" s="64"/>
      <c r="M12" s="59">
        <v>2.21</v>
      </c>
      <c r="N12" s="18"/>
    </row>
    <row r="13" spans="1:33" ht="14.4">
      <c r="C13" s="55" t="s">
        <v>5</v>
      </c>
      <c r="D13" s="55"/>
      <c r="E13" s="55"/>
      <c r="F13" s="55"/>
      <c r="G13" s="63" t="s">
        <v>12</v>
      </c>
      <c r="H13" s="52"/>
      <c r="I13" s="53" t="s">
        <v>31</v>
      </c>
      <c r="J13" s="53"/>
      <c r="K13" s="53"/>
      <c r="L13" s="62"/>
      <c r="M13" s="54">
        <v>2.14</v>
      </c>
      <c r="N13" s="18"/>
    </row>
    <row r="14" spans="1:33" ht="14.4">
      <c r="C14" s="55" t="s">
        <v>7</v>
      </c>
      <c r="D14" s="55"/>
      <c r="E14" s="55"/>
      <c r="F14" s="65"/>
      <c r="G14" s="63" t="s">
        <v>13</v>
      </c>
      <c r="H14" s="52"/>
      <c r="I14" s="57" t="s">
        <v>32</v>
      </c>
      <c r="J14" s="57"/>
      <c r="K14" s="57"/>
      <c r="L14" s="64"/>
      <c r="M14" s="59">
        <v>2.04</v>
      </c>
      <c r="N14" s="18"/>
    </row>
    <row r="15" spans="1:33" ht="14.4">
      <c r="C15" s="55" t="s">
        <v>8</v>
      </c>
      <c r="D15" s="55"/>
      <c r="E15" s="55"/>
      <c r="F15" s="55"/>
      <c r="G15" s="63" t="s">
        <v>14</v>
      </c>
      <c r="H15" s="52"/>
      <c r="I15" s="53" t="s">
        <v>33</v>
      </c>
      <c r="J15" s="53"/>
      <c r="K15" s="53"/>
      <c r="L15" s="53"/>
      <c r="M15" s="54">
        <v>2.02</v>
      </c>
      <c r="N15" s="18"/>
    </row>
    <row r="16" spans="1:33" ht="14.4">
      <c r="C16" s="55" t="s">
        <v>15</v>
      </c>
      <c r="D16" s="55"/>
      <c r="E16" s="55"/>
      <c r="F16" s="55"/>
      <c r="G16" s="66">
        <v>7.4999999999999997E-3</v>
      </c>
      <c r="H16" s="52"/>
      <c r="I16" s="57" t="s">
        <v>35</v>
      </c>
      <c r="J16" s="57"/>
      <c r="K16" s="57"/>
      <c r="L16" s="64"/>
      <c r="M16" s="59">
        <v>2.0099999999999998</v>
      </c>
      <c r="N16" s="18"/>
    </row>
    <row r="17" spans="3:14" ht="14.4">
      <c r="C17" s="55" t="s">
        <v>20</v>
      </c>
      <c r="D17" s="55"/>
      <c r="E17" s="55"/>
      <c r="F17" s="55"/>
      <c r="G17" s="67" t="s">
        <v>21</v>
      </c>
      <c r="H17" s="52"/>
      <c r="I17" s="53" t="s">
        <v>36</v>
      </c>
      <c r="J17" s="53"/>
      <c r="K17" s="53"/>
      <c r="L17" s="53"/>
      <c r="M17" s="54">
        <v>2</v>
      </c>
      <c r="N17" s="18"/>
    </row>
    <row r="18" spans="3:14" ht="14.4">
      <c r="C18" s="55" t="s">
        <v>9</v>
      </c>
      <c r="D18" s="55"/>
      <c r="E18" s="55"/>
      <c r="F18" s="55"/>
      <c r="G18" s="66">
        <v>0.01</v>
      </c>
      <c r="H18" s="52"/>
      <c r="I18" s="57" t="s">
        <v>37</v>
      </c>
      <c r="J18" s="57"/>
      <c r="K18" s="57"/>
      <c r="L18" s="64"/>
      <c r="M18" s="59">
        <v>1.88</v>
      </c>
      <c r="N18" s="18"/>
    </row>
    <row r="19" spans="3:14" ht="14.4">
      <c r="C19" s="55" t="s">
        <v>16</v>
      </c>
      <c r="D19" s="55"/>
      <c r="E19" s="55"/>
      <c r="F19" s="55"/>
      <c r="G19" s="68" t="s">
        <v>17</v>
      </c>
      <c r="H19" s="69"/>
      <c r="I19" s="57"/>
      <c r="J19" s="57"/>
      <c r="K19" s="57"/>
      <c r="L19" s="52"/>
      <c r="M19" s="57"/>
    </row>
    <row r="20" spans="3:14" ht="14.4">
      <c r="I20" s="16"/>
      <c r="J20" s="16"/>
      <c r="K20" s="16"/>
      <c r="L20" s="17"/>
      <c r="M20" s="16"/>
    </row>
    <row r="21" spans="3:14">
      <c r="C21" s="128" t="s">
        <v>19</v>
      </c>
      <c r="D21" s="129"/>
      <c r="E21" s="129"/>
      <c r="F21" s="129"/>
      <c r="G21" s="129"/>
      <c r="I21" s="128" t="s">
        <v>23</v>
      </c>
      <c r="J21" s="129"/>
      <c r="K21" s="129"/>
      <c r="L21" s="129"/>
      <c r="M21" s="129"/>
    </row>
    <row r="26" spans="3:14">
      <c r="M26" s="2"/>
    </row>
    <row r="30" spans="3:14" ht="14.4">
      <c r="L30"/>
    </row>
    <row r="31" spans="3:14">
      <c r="E31" s="7"/>
    </row>
    <row r="34" spans="3:13">
      <c r="C34" s="128" t="s">
        <v>142</v>
      </c>
      <c r="D34" s="129"/>
      <c r="E34" s="129"/>
      <c r="F34" s="129"/>
      <c r="G34" s="129"/>
      <c r="I34" s="128" t="s">
        <v>149</v>
      </c>
      <c r="J34" s="129"/>
      <c r="K34" s="129"/>
      <c r="L34" s="129"/>
      <c r="M34" s="129"/>
    </row>
    <row r="35" spans="3:13">
      <c r="C35" s="76" t="s">
        <v>150</v>
      </c>
      <c r="D35" s="75"/>
      <c r="E35" s="75"/>
      <c r="F35" s="75"/>
      <c r="G35" s="75"/>
      <c r="I35" s="76" t="s">
        <v>151</v>
      </c>
      <c r="J35" s="75"/>
      <c r="K35" s="75"/>
      <c r="L35" s="75"/>
      <c r="M35" s="75"/>
    </row>
    <row r="50" spans="3:14" ht="14.4">
      <c r="C50" s="123" t="s">
        <v>188</v>
      </c>
      <c r="D50" s="124"/>
      <c r="E50" s="124"/>
      <c r="F50" s="124"/>
      <c r="G50" s="124"/>
      <c r="H50" s="77"/>
      <c r="I50" s="78"/>
      <c r="J50" s="78"/>
      <c r="K50" s="78"/>
      <c r="L50" s="78"/>
      <c r="M50" s="78"/>
    </row>
    <row r="59" spans="3:14" ht="14.4" thickBot="1"/>
    <row r="60" spans="3:14">
      <c r="C60" s="80"/>
      <c r="D60" s="80"/>
      <c r="E60" s="80"/>
      <c r="F60" s="80"/>
      <c r="G60" s="80"/>
      <c r="H60" s="80"/>
      <c r="I60" s="80"/>
      <c r="J60" s="80"/>
      <c r="K60" s="80"/>
      <c r="L60" s="80"/>
      <c r="M60" s="80"/>
    </row>
    <row r="61" spans="3:14" ht="14.4">
      <c r="C61"/>
      <c r="D61"/>
      <c r="E61"/>
      <c r="F61"/>
      <c r="G61"/>
      <c r="H61"/>
      <c r="I61"/>
      <c r="J61"/>
      <c r="K61"/>
      <c r="L61"/>
      <c r="M61"/>
    </row>
    <row r="62" spans="3:14" s="4" customFormat="1">
      <c r="N62" s="81"/>
    </row>
    <row r="63" spans="3:14" ht="14.4" thickBot="1"/>
    <row r="64" spans="3:14" ht="14.4" thickBot="1">
      <c r="C64" s="79"/>
      <c r="D64" s="79"/>
      <c r="E64" s="79"/>
      <c r="F64" s="79"/>
      <c r="G64" s="82" t="s">
        <v>152</v>
      </c>
      <c r="H64" s="79"/>
      <c r="I64" s="79"/>
      <c r="J64" s="79"/>
      <c r="K64" s="79"/>
      <c r="L64" s="79"/>
      <c r="M64" s="79"/>
    </row>
    <row r="65" spans="3:14">
      <c r="D65" s="80"/>
    </row>
    <row r="66" spans="3:14">
      <c r="G66" s="2"/>
      <c r="I66" s="84"/>
      <c r="J66" s="84"/>
      <c r="K66" s="85" t="s">
        <v>155</v>
      </c>
      <c r="L66" s="84"/>
      <c r="M66" s="84"/>
    </row>
    <row r="67" spans="3:14">
      <c r="C67" s="83" t="s">
        <v>153</v>
      </c>
      <c r="G67" s="2"/>
      <c r="I67" s="102">
        <v>1</v>
      </c>
      <c r="J67" s="102">
        <v>2</v>
      </c>
      <c r="K67" s="102">
        <v>3</v>
      </c>
      <c r="L67" s="102">
        <v>4</v>
      </c>
      <c r="M67" s="102">
        <v>5</v>
      </c>
    </row>
    <row r="68" spans="3:14" ht="19.8" customHeight="1">
      <c r="C68" s="107" t="s">
        <v>0</v>
      </c>
      <c r="D68" s="107"/>
      <c r="E68" s="107"/>
      <c r="F68" s="107"/>
      <c r="G68" s="107"/>
      <c r="H68" s="109"/>
      <c r="I68" s="103">
        <v>7.5499999999999998E-2</v>
      </c>
      <c r="J68" s="131">
        <f>_xlfn.RRI(2,2917.95,4678.95)</f>
        <v>0.26629612886622889</v>
      </c>
      <c r="K68" s="103">
        <v>0.26319999999999999</v>
      </c>
      <c r="L68" s="104">
        <f>_xlfn.RRI(4,2222,4678.59)</f>
        <v>0.20459965209842368</v>
      </c>
      <c r="M68" s="103">
        <v>0.30399999999999999</v>
      </c>
      <c r="N68" s="95"/>
    </row>
    <row r="69" spans="3:14" ht="19.8" customHeight="1">
      <c r="C69" s="108" t="s">
        <v>14</v>
      </c>
      <c r="D69" s="108"/>
      <c r="E69" s="108"/>
      <c r="F69" s="108"/>
      <c r="G69" s="108"/>
      <c r="H69" s="110"/>
      <c r="I69" s="105">
        <v>7.6600000000000001E-2</v>
      </c>
      <c r="J69" s="105">
        <v>0.23019999999999999</v>
      </c>
      <c r="K69" s="105">
        <v>0.23680000000000001</v>
      </c>
      <c r="L69" s="106">
        <v>0.21</v>
      </c>
      <c r="M69" s="105">
        <v>0.27879999999999999</v>
      </c>
      <c r="N69" s="95"/>
    </row>
    <row r="70" spans="3:14" ht="19.8" customHeight="1">
      <c r="C70" s="107" t="s">
        <v>154</v>
      </c>
      <c r="D70" s="107"/>
      <c r="E70" s="107"/>
      <c r="F70" s="107"/>
      <c r="G70" s="107"/>
      <c r="H70" s="109"/>
      <c r="I70" s="103">
        <v>7.8600000000000003E-2</v>
      </c>
      <c r="J70" s="103">
        <v>0.15260000000000001</v>
      </c>
      <c r="K70" s="103">
        <v>0.1348</v>
      </c>
      <c r="L70" s="103">
        <v>0.16719999999999999</v>
      </c>
      <c r="M70" s="103">
        <v>0.17</v>
      </c>
      <c r="N70" s="95"/>
    </row>
    <row r="71" spans="3:14" ht="14.4">
      <c r="C71" s="52"/>
      <c r="D71" s="52"/>
      <c r="E71" s="52"/>
      <c r="F71" s="52"/>
      <c r="G71" s="52"/>
      <c r="I71" s="94"/>
      <c r="J71" s="94"/>
      <c r="K71" s="94"/>
      <c r="L71" s="94"/>
      <c r="M71" s="94"/>
      <c r="N71" s="95"/>
    </row>
    <row r="72" spans="3:14" ht="18" customHeight="1">
      <c r="C72" s="86" t="s">
        <v>156</v>
      </c>
      <c r="D72" s="52"/>
      <c r="E72" s="52"/>
      <c r="F72" s="52"/>
      <c r="G72" s="52"/>
      <c r="I72" s="94"/>
      <c r="J72" s="94"/>
      <c r="K72" s="94"/>
      <c r="L72" s="94"/>
      <c r="M72" s="94"/>
      <c r="N72" s="95"/>
    </row>
    <row r="73" spans="3:14" ht="17.399999999999999" customHeight="1">
      <c r="C73" s="107" t="s">
        <v>0</v>
      </c>
      <c r="D73" s="107"/>
      <c r="E73" s="107"/>
      <c r="F73" s="107"/>
      <c r="G73" s="107"/>
      <c r="H73" s="109"/>
      <c r="I73" s="132">
        <v>107500</v>
      </c>
      <c r="J73" s="132">
        <v>159517</v>
      </c>
      <c r="K73" s="132">
        <v>201470</v>
      </c>
      <c r="L73" s="132">
        <v>210838</v>
      </c>
      <c r="M73" s="132">
        <v>371293</v>
      </c>
      <c r="N73" s="95"/>
    </row>
    <row r="74" spans="3:14" ht="18" customHeight="1">
      <c r="C74" s="108" t="s">
        <v>14</v>
      </c>
      <c r="D74" s="108"/>
      <c r="E74" s="108"/>
      <c r="F74" s="108"/>
      <c r="G74" s="108"/>
      <c r="H74" s="110"/>
      <c r="I74" s="133">
        <f>100000*(1+I69)^$I67</f>
        <v>107660</v>
      </c>
      <c r="J74" s="133">
        <f t="shared" ref="J74:M74" si="0">100000*(1+J69)^$I67</f>
        <v>123020</v>
      </c>
      <c r="K74" s="133">
        <f t="shared" si="0"/>
        <v>123680.00000000001</v>
      </c>
      <c r="L74" s="133">
        <f t="shared" si="0"/>
        <v>121000</v>
      </c>
      <c r="M74" s="133">
        <f t="shared" si="0"/>
        <v>127880</v>
      </c>
      <c r="N74" s="95"/>
    </row>
    <row r="75" spans="3:14" ht="14.4">
      <c r="C75" s="107" t="s">
        <v>154</v>
      </c>
      <c r="D75" s="107"/>
      <c r="E75" s="107"/>
      <c r="F75" s="107"/>
      <c r="G75" s="107"/>
      <c r="H75" s="109"/>
      <c r="I75" s="132">
        <f>100000*(1+I70)^$I67</f>
        <v>107860</v>
      </c>
      <c r="J75" s="132">
        <f t="shared" ref="J75:M75" si="1">100000*(1+J70)^$I67</f>
        <v>115260</v>
      </c>
      <c r="K75" s="132">
        <f t="shared" si="1"/>
        <v>113480</v>
      </c>
      <c r="L75" s="132">
        <f t="shared" si="1"/>
        <v>116720</v>
      </c>
      <c r="M75" s="132">
        <f t="shared" si="1"/>
        <v>117000</v>
      </c>
      <c r="N75" s="95"/>
    </row>
    <row r="76" spans="3:14" ht="14.4">
      <c r="C76" s="52"/>
      <c r="D76" s="52"/>
      <c r="E76" s="52"/>
      <c r="F76" s="52"/>
      <c r="G76" s="52"/>
      <c r="I76" s="134"/>
      <c r="J76" s="134"/>
      <c r="K76" s="134"/>
      <c r="L76" s="134"/>
      <c r="M76" s="134"/>
      <c r="N76" s="95"/>
    </row>
    <row r="77" spans="3:14" ht="14.4">
      <c r="C77" s="86" t="s">
        <v>157</v>
      </c>
      <c r="D77" s="52"/>
      <c r="E77" s="52"/>
      <c r="F77" s="52"/>
      <c r="G77" s="52"/>
      <c r="I77" s="134"/>
      <c r="J77" s="134"/>
      <c r="K77" s="134"/>
      <c r="L77" s="134"/>
      <c r="M77" s="134"/>
      <c r="N77" s="95"/>
    </row>
    <row r="78" spans="3:14" ht="19.2" customHeight="1">
      <c r="C78" s="107" t="s">
        <v>0</v>
      </c>
      <c r="D78" s="107"/>
      <c r="E78" s="109"/>
      <c r="F78" s="107"/>
      <c r="G78" s="107"/>
      <c r="H78" s="109"/>
      <c r="I78" s="135" cm="1">
        <f t="array" ref="I78:N78">TRANSPOSE('SIP Returns'!D39:D44)</f>
        <v>131167</v>
      </c>
      <c r="J78" s="135">
        <v>282582</v>
      </c>
      <c r="K78" s="135">
        <v>511525</v>
      </c>
      <c r="L78" s="135">
        <v>774188</v>
      </c>
      <c r="M78" s="135">
        <v>1113914</v>
      </c>
      <c r="N78" s="95">
        <v>1620970</v>
      </c>
    </row>
    <row r="79" spans="3:14" ht="14.4">
      <c r="C79" s="108" t="s">
        <v>14</v>
      </c>
      <c r="D79" s="108"/>
      <c r="E79" s="108"/>
      <c r="F79" s="108"/>
      <c r="G79" s="108"/>
      <c r="H79" s="110"/>
      <c r="I79" s="136" cm="1">
        <f t="array" ref="I79:N79">TRANSPOSE('SIP Returns'!D39:D44)</f>
        <v>131167</v>
      </c>
      <c r="J79" s="136">
        <v>282582</v>
      </c>
      <c r="K79" s="136">
        <v>511525</v>
      </c>
      <c r="L79" s="136">
        <v>774188</v>
      </c>
      <c r="M79" s="136">
        <v>1113914</v>
      </c>
      <c r="N79" s="95">
        <v>1620970</v>
      </c>
    </row>
    <row r="80" spans="3:14" ht="14.4">
      <c r="C80" s="107" t="s">
        <v>154</v>
      </c>
      <c r="D80" s="107"/>
      <c r="E80" s="107"/>
      <c r="F80" s="107"/>
      <c r="G80" s="107"/>
      <c r="H80" s="109"/>
      <c r="I80" s="135" cm="1">
        <f t="array" ref="I80:N80">TRANSPOSE('SIP Returns'!H39:H44)</f>
        <v>129356</v>
      </c>
      <c r="J80" s="135">
        <v>268824</v>
      </c>
      <c r="K80" s="135">
        <v>437622</v>
      </c>
      <c r="L80" s="135">
        <v>480000</v>
      </c>
      <c r="M80" s="135">
        <v>838592</v>
      </c>
      <c r="N80" s="95">
        <v>1130185</v>
      </c>
    </row>
    <row r="81" spans="3:14" ht="14.4">
      <c r="C81" s="52"/>
      <c r="D81" s="52"/>
      <c r="E81" s="52"/>
      <c r="F81" s="52"/>
      <c r="G81" s="52"/>
      <c r="I81" s="134"/>
      <c r="J81" s="134"/>
      <c r="K81" s="134"/>
      <c r="L81" s="134"/>
      <c r="M81" s="134"/>
      <c r="N81" s="95"/>
    </row>
    <row r="82" spans="3:14" ht="14.4">
      <c r="C82" s="86" t="s">
        <v>158</v>
      </c>
      <c r="D82" s="52"/>
      <c r="E82" s="52"/>
      <c r="F82" s="52"/>
      <c r="G82" s="52"/>
      <c r="I82" s="134"/>
      <c r="J82" s="134"/>
      <c r="K82" s="134"/>
      <c r="L82" s="134"/>
      <c r="M82" s="134"/>
      <c r="N82" s="95"/>
    </row>
    <row r="83" spans="3:14" ht="18" customHeight="1">
      <c r="C83" s="107" t="s">
        <v>0</v>
      </c>
      <c r="D83" s="107"/>
      <c r="E83" s="107"/>
      <c r="F83" s="107"/>
      <c r="G83" s="109"/>
      <c r="H83" s="109"/>
      <c r="I83" s="135" cm="1">
        <f t="array" ref="I83:N83">TRANSPOSE('SIP Returns'!M39:M44)</f>
        <v>131197</v>
      </c>
      <c r="J83" s="135">
        <v>295699</v>
      </c>
      <c r="K83" s="135">
        <v>554212</v>
      </c>
      <c r="L83" s="135">
        <v>872296</v>
      </c>
      <c r="M83" s="135">
        <v>1299251</v>
      </c>
      <c r="N83" s="95">
        <v>925873</v>
      </c>
    </row>
    <row r="84" spans="3:14" ht="17.399999999999999" customHeight="1">
      <c r="C84" s="108" t="s">
        <v>14</v>
      </c>
      <c r="D84" s="108"/>
      <c r="E84" s="108"/>
      <c r="F84" s="108"/>
      <c r="G84" s="110"/>
      <c r="H84" s="110"/>
      <c r="I84" s="136" cm="1">
        <f t="array" ref="I84:N84">TRANSPOSE('SIP Returns'!O39:O44)</f>
        <v>130653</v>
      </c>
      <c r="J84" s="136">
        <v>252000</v>
      </c>
      <c r="K84" s="136">
        <v>531857</v>
      </c>
      <c r="L84" s="136">
        <v>828197</v>
      </c>
      <c r="M84" s="136">
        <v>1216999</v>
      </c>
      <c r="N84" s="95">
        <v>1804099</v>
      </c>
    </row>
    <row r="85" spans="3:14" ht="18" customHeight="1">
      <c r="C85" s="107" t="s">
        <v>154</v>
      </c>
      <c r="D85" s="107"/>
      <c r="E85" s="107"/>
      <c r="F85" s="107"/>
      <c r="G85" s="109"/>
      <c r="H85" s="109"/>
      <c r="I85" s="135" cm="1">
        <f t="array" ref="I85:M85">TRANSPOSE('SIP Returns'!Q39:Q43)</f>
        <v>129356</v>
      </c>
      <c r="J85" s="135">
        <v>281759</v>
      </c>
      <c r="K85" s="135">
        <v>478733</v>
      </c>
      <c r="L85" s="135">
        <v>711945</v>
      </c>
      <c r="M85" s="135">
        <v>998771</v>
      </c>
      <c r="N85" s="95"/>
    </row>
    <row r="86" spans="3:14">
      <c r="I86" s="94"/>
      <c r="J86" s="94"/>
      <c r="K86" s="94"/>
      <c r="L86" s="94"/>
      <c r="M86" s="94"/>
      <c r="N86" s="95"/>
    </row>
    <row r="87" spans="3:14">
      <c r="I87" s="94"/>
      <c r="J87" s="94"/>
      <c r="K87" s="94"/>
      <c r="L87" s="94"/>
      <c r="M87" s="94"/>
      <c r="N87" s="95"/>
    </row>
    <row r="88" spans="3:14" ht="14.4">
      <c r="I88" s="52"/>
      <c r="J88" s="52"/>
      <c r="K88" s="52"/>
      <c r="L88" s="52"/>
      <c r="M88" s="52"/>
      <c r="N88" s="93"/>
    </row>
    <row r="90" spans="3:14" ht="14.4" thickBot="1"/>
    <row r="91" spans="3:14" ht="14.4" thickBot="1">
      <c r="C91" s="79"/>
      <c r="D91" s="79"/>
      <c r="E91" s="79"/>
      <c r="F91" s="79"/>
      <c r="G91" s="82" t="s">
        <v>165</v>
      </c>
      <c r="H91" s="79"/>
      <c r="I91" s="79"/>
      <c r="J91" s="79"/>
      <c r="K91" s="79"/>
      <c r="L91" s="79"/>
      <c r="M91" s="79"/>
    </row>
    <row r="93" spans="3:14" ht="14.4">
      <c r="C93" s="52"/>
      <c r="D93" s="52"/>
      <c r="E93" s="52"/>
      <c r="F93" s="52"/>
      <c r="G93" s="52"/>
      <c r="H93" s="52"/>
      <c r="I93" s="52"/>
      <c r="J93" s="52"/>
      <c r="K93" s="52"/>
      <c r="L93" s="52"/>
      <c r="M93" s="52"/>
    </row>
    <row r="94" spans="3:14" ht="14.4">
      <c r="C94" s="52"/>
      <c r="D94" s="52"/>
      <c r="E94" s="52"/>
      <c r="F94" s="113" t="s">
        <v>171</v>
      </c>
      <c r="G94" s="113" t="s">
        <v>172</v>
      </c>
      <c r="H94" s="112"/>
      <c r="I94" s="114" t="s">
        <v>173</v>
      </c>
      <c r="J94" s="114" t="s">
        <v>174</v>
      </c>
      <c r="K94" s="114" t="s">
        <v>175</v>
      </c>
      <c r="L94" s="111"/>
      <c r="M94" s="52"/>
    </row>
    <row r="95" spans="3:14" ht="14.4">
      <c r="C95" s="86" t="s">
        <v>0</v>
      </c>
      <c r="D95" s="86"/>
      <c r="E95" s="86"/>
      <c r="F95" s="111">
        <v>23.82</v>
      </c>
      <c r="G95" s="111">
        <v>15.45</v>
      </c>
      <c r="H95" s="111"/>
      <c r="I95" s="111">
        <v>1.65</v>
      </c>
      <c r="J95" s="111">
        <v>0.96</v>
      </c>
      <c r="K95" s="111">
        <v>2.76</v>
      </c>
      <c r="L95" s="111"/>
      <c r="M95" s="52"/>
    </row>
    <row r="96" spans="3:14">
      <c r="C96" s="86" t="s">
        <v>166</v>
      </c>
      <c r="D96" s="86"/>
      <c r="E96" s="86"/>
      <c r="F96" s="111">
        <v>21.67</v>
      </c>
      <c r="G96" s="111">
        <v>15.71</v>
      </c>
      <c r="H96" s="111"/>
      <c r="I96" s="111">
        <v>1.37</v>
      </c>
      <c r="J96" s="111" t="s">
        <v>167</v>
      </c>
      <c r="K96" s="111" t="s">
        <v>167</v>
      </c>
      <c r="L96" s="111"/>
    </row>
    <row r="97" spans="3:13" ht="14.4">
      <c r="C97" s="120" t="s">
        <v>170</v>
      </c>
      <c r="D97" s="86"/>
      <c r="E97" s="86"/>
      <c r="F97" s="111">
        <v>20.55</v>
      </c>
      <c r="G97" s="111">
        <v>15.42</v>
      </c>
      <c r="H97" s="111"/>
      <c r="I97" s="111">
        <v>1.27</v>
      </c>
      <c r="J97" s="111">
        <v>0.94</v>
      </c>
      <c r="K97" s="111">
        <v>-0.17</v>
      </c>
      <c r="L97" s="111"/>
      <c r="M97" s="52"/>
    </row>
    <row r="98" spans="3:13" ht="14.4">
      <c r="C98" s="120" t="s">
        <v>168</v>
      </c>
      <c r="D98" s="86"/>
      <c r="E98" s="86"/>
      <c r="F98" s="111">
        <v>6</v>
      </c>
      <c r="G98" s="111">
        <v>14</v>
      </c>
      <c r="H98" s="111"/>
      <c r="I98" s="111">
        <v>3</v>
      </c>
      <c r="J98" s="111">
        <v>19</v>
      </c>
      <c r="K98" s="111">
        <v>6</v>
      </c>
      <c r="L98" s="111"/>
      <c r="M98" s="52"/>
    </row>
    <row r="99" spans="3:13" ht="14.4">
      <c r="C99" s="120" t="s">
        <v>169</v>
      </c>
      <c r="D99" s="86"/>
      <c r="E99" s="86"/>
      <c r="F99" s="111">
        <v>35</v>
      </c>
      <c r="G99" s="111">
        <v>35</v>
      </c>
      <c r="H99" s="111"/>
      <c r="I99" s="111">
        <v>35</v>
      </c>
      <c r="J99" s="111">
        <v>35</v>
      </c>
      <c r="K99" s="111">
        <v>35</v>
      </c>
      <c r="L99" s="111"/>
      <c r="M99" s="52"/>
    </row>
    <row r="100" spans="3:13" ht="14.4">
      <c r="C100" s="52"/>
      <c r="D100" s="52"/>
      <c r="E100" s="52"/>
      <c r="F100" s="111"/>
      <c r="G100" s="111"/>
      <c r="H100" s="111"/>
      <c r="I100" s="111"/>
      <c r="J100" s="111"/>
      <c r="K100" s="111"/>
      <c r="L100" s="111"/>
      <c r="M100" s="52"/>
    </row>
    <row r="112" spans="3:13" ht="3" customHeight="1"/>
    <row r="113" spans="1:33" s="13" customFormat="1" ht="11.4" thickBot="1">
      <c r="A113" s="116"/>
      <c r="G113" s="115" t="s">
        <v>176</v>
      </c>
      <c r="N113" s="117"/>
      <c r="O113" s="118"/>
      <c r="P113" s="118"/>
      <c r="Q113" s="118"/>
      <c r="R113" s="118"/>
      <c r="S113" s="118"/>
      <c r="T113" s="118"/>
      <c r="U113" s="118"/>
      <c r="V113" s="118"/>
      <c r="W113" s="118"/>
      <c r="X113" s="118"/>
      <c r="Y113" s="118"/>
      <c r="Z113" s="118"/>
      <c r="AA113" s="118"/>
      <c r="AB113" s="118"/>
      <c r="AC113" s="118"/>
      <c r="AD113" s="119"/>
      <c r="AE113" s="119"/>
      <c r="AF113" s="119"/>
      <c r="AG113" s="119"/>
    </row>
    <row r="114" spans="1:33" ht="14.4" thickBot="1">
      <c r="C114" s="79"/>
      <c r="D114" s="79"/>
      <c r="E114" s="79"/>
      <c r="F114" s="79"/>
      <c r="G114" s="82" t="s">
        <v>177</v>
      </c>
      <c r="H114" s="79"/>
      <c r="I114" s="79"/>
      <c r="J114" s="79"/>
      <c r="K114" s="79"/>
      <c r="L114" s="79"/>
      <c r="M114" s="79"/>
    </row>
    <row r="154" spans="3:13" ht="14.4" thickBot="1"/>
    <row r="155" spans="3:13" ht="15" thickBot="1">
      <c r="C155" s="121" t="s">
        <v>178</v>
      </c>
      <c r="D155" s="121"/>
      <c r="E155" s="121"/>
      <c r="F155" s="121"/>
      <c r="G155" s="82"/>
      <c r="H155" s="121"/>
      <c r="I155" s="121"/>
      <c r="J155" s="121"/>
      <c r="K155" s="121"/>
      <c r="L155" s="121" t="s">
        <v>179</v>
      </c>
      <c r="M155" s="121" t="s">
        <v>180</v>
      </c>
    </row>
    <row r="156" spans="3:13" ht="14.4">
      <c r="C156" t="s">
        <v>181</v>
      </c>
      <c r="L156" s="122">
        <v>0.10630123150850029</v>
      </c>
      <c r="M156" s="2" t="s">
        <v>187</v>
      </c>
    </row>
    <row r="157" spans="3:13" ht="14.4">
      <c r="C157" t="s">
        <v>182</v>
      </c>
      <c r="L157" s="122">
        <v>0</v>
      </c>
      <c r="M157" s="2" t="s">
        <v>187</v>
      </c>
    </row>
    <row r="158" spans="3:13" ht="14.4">
      <c r="C158" t="s">
        <v>183</v>
      </c>
      <c r="L158" s="122">
        <v>0</v>
      </c>
      <c r="M158" s="2" t="s">
        <v>187</v>
      </c>
    </row>
    <row r="159" spans="3:13" ht="14.4">
      <c r="C159" t="s">
        <v>184</v>
      </c>
      <c r="L159" s="122">
        <v>0</v>
      </c>
      <c r="M159" s="2" t="s">
        <v>187</v>
      </c>
    </row>
    <row r="160" spans="3:13" ht="14.4">
      <c r="C160" t="s">
        <v>185</v>
      </c>
      <c r="L160" s="122">
        <v>0</v>
      </c>
      <c r="M160" s="2" t="s">
        <v>187</v>
      </c>
    </row>
    <row r="161" spans="3:13" ht="14.4">
      <c r="C161" t="s">
        <v>186</v>
      </c>
      <c r="L161" s="122">
        <v>0</v>
      </c>
      <c r="M161" s="2" t="s">
        <v>187</v>
      </c>
    </row>
    <row r="163" spans="3:13" ht="14.4">
      <c r="C163" t="s">
        <v>181</v>
      </c>
      <c r="L163" s="2" t="s">
        <v>187</v>
      </c>
      <c r="M163" s="122">
        <v>-1</v>
      </c>
    </row>
    <row r="164" spans="3:13" ht="14.4">
      <c r="C164" t="s">
        <v>182</v>
      </c>
      <c r="L164" s="2" t="s">
        <v>187</v>
      </c>
      <c r="M164" s="122">
        <v>-0.91642950819672131</v>
      </c>
    </row>
    <row r="165" spans="3:13" ht="14.4">
      <c r="C165" t="s">
        <v>183</v>
      </c>
      <c r="L165" s="2" t="s">
        <v>187</v>
      </c>
      <c r="M165" s="122">
        <v>-0.5</v>
      </c>
    </row>
    <row r="166" spans="3:13" ht="14.4">
      <c r="C166" t="s">
        <v>184</v>
      </c>
      <c r="L166" s="2" t="s">
        <v>187</v>
      </c>
      <c r="M166" s="122">
        <v>-0.32072960023341374</v>
      </c>
    </row>
    <row r="167" spans="3:13" ht="14.4">
      <c r="C167" t="s">
        <v>185</v>
      </c>
      <c r="L167" s="2" t="s">
        <v>187</v>
      </c>
      <c r="M167" s="122">
        <v>-0.31970665506070195</v>
      </c>
    </row>
    <row r="168" spans="3:13" ht="14.4">
      <c r="C168" t="s">
        <v>186</v>
      </c>
      <c r="L168" s="2" t="s">
        <v>187</v>
      </c>
      <c r="M168" s="122">
        <v>-0.23150834418924829</v>
      </c>
    </row>
    <row r="171" spans="3:13" ht="14.4">
      <c r="C171" s="52"/>
      <c r="D171" s="52"/>
      <c r="E171" s="52"/>
      <c r="F171" s="52"/>
      <c r="G171" s="52"/>
      <c r="H171" s="52"/>
      <c r="I171" s="52"/>
      <c r="J171" s="52"/>
      <c r="K171" s="52"/>
      <c r="L171" s="52"/>
      <c r="M171" s="52"/>
    </row>
    <row r="172" spans="3:13" ht="14.4">
      <c r="C172" s="52"/>
      <c r="D172" s="52"/>
      <c r="E172" s="52"/>
      <c r="F172" s="52"/>
      <c r="G172" s="52"/>
      <c r="H172" s="52"/>
      <c r="I172" s="52"/>
      <c r="J172" s="52"/>
      <c r="K172" s="52"/>
      <c r="L172" s="52"/>
      <c r="M172" s="52"/>
    </row>
    <row r="173" spans="3:13" ht="14.4">
      <c r="C173" s="52"/>
      <c r="D173" s="52"/>
      <c r="E173" s="52"/>
      <c r="F173" s="52"/>
      <c r="G173" s="52"/>
      <c r="H173" s="52"/>
      <c r="I173" s="52"/>
      <c r="J173" s="52"/>
      <c r="K173" s="52"/>
      <c r="L173" s="52"/>
      <c r="M173" s="52"/>
    </row>
    <row r="174" spans="3:13" ht="14.4">
      <c r="C174" s="52"/>
      <c r="D174" s="52"/>
      <c r="E174" s="52"/>
      <c r="F174" s="52"/>
      <c r="G174" s="52"/>
      <c r="H174" s="52"/>
      <c r="I174" s="52"/>
      <c r="J174" s="52"/>
      <c r="K174" s="52"/>
      <c r="L174" s="52"/>
      <c r="M174" s="52"/>
    </row>
    <row r="175" spans="3:13" ht="14.4">
      <c r="C175" s="52"/>
      <c r="D175" s="52"/>
      <c r="E175" s="52"/>
      <c r="F175" s="52"/>
      <c r="G175" s="52"/>
      <c r="H175" s="52"/>
      <c r="I175" s="52"/>
      <c r="J175" s="52"/>
      <c r="K175" s="52"/>
      <c r="L175" s="52"/>
      <c r="M175" s="52"/>
    </row>
  </sheetData>
  <mergeCells count="9">
    <mergeCell ref="C50:G50"/>
    <mergeCell ref="B4:N4"/>
    <mergeCell ref="B5:N6"/>
    <mergeCell ref="C34:G34"/>
    <mergeCell ref="C8:G8"/>
    <mergeCell ref="I8:M8"/>
    <mergeCell ref="C21:G21"/>
    <mergeCell ref="I21:M21"/>
    <mergeCell ref="I34:M34"/>
  </mergeCells>
  <phoneticPr fontId="9" type="noConversion"/>
  <pageMargins left="0.7" right="0.7" top="0.75" bottom="0.75" header="0.3" footer="0.3"/>
  <pageSetup paperSize="9" scale="28"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7779-19A4-4816-9B92-299CDE26012B}">
  <sheetPr>
    <pageSetUpPr autoPageBreaks="0"/>
  </sheetPr>
  <dimension ref="A1:F98"/>
  <sheetViews>
    <sheetView showGridLines="0" tabSelected="1" topLeftCell="A27" workbookViewId="0">
      <selection activeCell="F25" sqref="F25"/>
    </sheetView>
  </sheetViews>
  <sheetFormatPr defaultRowHeight="14.4"/>
  <cols>
    <col min="1" max="1" width="30.33203125" style="27" customWidth="1"/>
    <col min="2" max="2" width="24" style="19" customWidth="1"/>
    <col min="3" max="3" width="29.77734375" style="32" customWidth="1"/>
    <col min="4" max="4" width="23.5546875" customWidth="1"/>
    <col min="5" max="5" width="18" customWidth="1"/>
    <col min="6" max="6" width="23.5546875" bestFit="1" customWidth="1"/>
    <col min="7" max="7" width="14.44140625" bestFit="1" customWidth="1"/>
    <col min="8" max="8" width="41.5546875" customWidth="1"/>
    <col min="13" max="14" width="14.44140625" bestFit="1" customWidth="1"/>
  </cols>
  <sheetData>
    <row r="1" spans="1:5" ht="15" thickBot="1">
      <c r="A1" s="140" t="s">
        <v>191</v>
      </c>
      <c r="B1" s="139"/>
      <c r="C1" s="139"/>
      <c r="D1" s="141" t="s">
        <v>192</v>
      </c>
    </row>
    <row r="2" spans="1:5" ht="15" thickBot="1">
      <c r="A2" s="34" t="s">
        <v>39</v>
      </c>
      <c r="B2" s="35" t="s">
        <v>40</v>
      </c>
      <c r="C2" s="36" t="s">
        <v>141</v>
      </c>
      <c r="D2" s="33" t="s">
        <v>139</v>
      </c>
      <c r="E2" s="39" t="s">
        <v>189</v>
      </c>
    </row>
    <row r="3" spans="1:5" ht="15" thickBot="1">
      <c r="A3" s="23" t="s">
        <v>24</v>
      </c>
      <c r="B3" s="20" t="s">
        <v>25</v>
      </c>
      <c r="C3" s="29">
        <v>3.34</v>
      </c>
      <c r="D3" s="28" t="s">
        <v>27</v>
      </c>
      <c r="E3" s="39">
        <v>25.189999999999998</v>
      </c>
    </row>
    <row r="4" spans="1:5" ht="15" thickBot="1">
      <c r="A4" s="24" t="s">
        <v>26</v>
      </c>
      <c r="B4" s="21" t="s">
        <v>27</v>
      </c>
      <c r="C4" s="30">
        <v>2.65</v>
      </c>
      <c r="D4" s="28" t="s">
        <v>38</v>
      </c>
      <c r="E4" s="39">
        <v>13.310000000000002</v>
      </c>
    </row>
    <row r="5" spans="1:5" ht="29.4" thickBot="1">
      <c r="A5" s="23" t="s">
        <v>28</v>
      </c>
      <c r="B5" s="20" t="s">
        <v>27</v>
      </c>
      <c r="C5" s="29">
        <v>2.56</v>
      </c>
      <c r="D5" s="28" t="s">
        <v>25</v>
      </c>
      <c r="E5" s="39">
        <v>11.500000000000002</v>
      </c>
    </row>
    <row r="6" spans="1:5" ht="15" thickBot="1">
      <c r="A6" s="24" t="s">
        <v>29</v>
      </c>
      <c r="B6" s="21" t="s">
        <v>30</v>
      </c>
      <c r="C6" s="30">
        <v>2.21</v>
      </c>
      <c r="D6" s="28" t="s">
        <v>30</v>
      </c>
      <c r="E6" s="39">
        <v>7.330000000000001</v>
      </c>
    </row>
    <row r="7" spans="1:5" ht="15" thickBot="1">
      <c r="A7" s="23" t="s">
        <v>31</v>
      </c>
      <c r="B7" s="20" t="s">
        <v>27</v>
      </c>
      <c r="C7" s="29">
        <v>2.14</v>
      </c>
      <c r="D7" s="28" t="s">
        <v>67</v>
      </c>
      <c r="E7" s="39">
        <v>7.07</v>
      </c>
    </row>
    <row r="8" spans="1:5" ht="15" thickBot="1">
      <c r="A8" s="24" t="s">
        <v>32</v>
      </c>
      <c r="B8" s="21" t="s">
        <v>27</v>
      </c>
      <c r="C8" s="30">
        <v>2.04</v>
      </c>
      <c r="D8" s="28" t="s">
        <v>55</v>
      </c>
      <c r="E8" s="39">
        <v>6.0299999999999994</v>
      </c>
    </row>
    <row r="9" spans="1:5" ht="15" thickBot="1">
      <c r="A9" s="23" t="s">
        <v>33</v>
      </c>
      <c r="B9" s="20" t="s">
        <v>34</v>
      </c>
      <c r="C9" s="29">
        <v>2.02</v>
      </c>
      <c r="D9" s="28" t="s">
        <v>47</v>
      </c>
      <c r="E9" s="39">
        <v>5.3999999999999995</v>
      </c>
    </row>
    <row r="10" spans="1:5" ht="15" thickBot="1">
      <c r="A10" s="24" t="s">
        <v>35</v>
      </c>
      <c r="B10" s="21" t="s">
        <v>27</v>
      </c>
      <c r="C10" s="30">
        <v>2.0099999999999998</v>
      </c>
      <c r="D10" s="28" t="s">
        <v>53</v>
      </c>
      <c r="E10" s="39">
        <v>5.1700000000000008</v>
      </c>
    </row>
    <row r="11" spans="1:5" ht="15" thickBot="1">
      <c r="A11" s="23" t="s">
        <v>36</v>
      </c>
      <c r="B11" s="20" t="s">
        <v>27</v>
      </c>
      <c r="C11" s="29">
        <v>2</v>
      </c>
      <c r="D11" s="28" t="s">
        <v>34</v>
      </c>
      <c r="E11" s="39">
        <v>3.88</v>
      </c>
    </row>
    <row r="12" spans="1:5" ht="15" thickBot="1">
      <c r="A12" s="24" t="s">
        <v>37</v>
      </c>
      <c r="B12" s="21" t="s">
        <v>38</v>
      </c>
      <c r="C12" s="30">
        <v>1.88</v>
      </c>
      <c r="D12" s="28" t="s">
        <v>57</v>
      </c>
      <c r="E12" s="39">
        <v>2.93</v>
      </c>
    </row>
    <row r="13" spans="1:5" ht="15" thickBot="1">
      <c r="A13" s="23" t="s">
        <v>41</v>
      </c>
      <c r="B13" s="20" t="s">
        <v>30</v>
      </c>
      <c r="C13" s="29">
        <v>1.87</v>
      </c>
      <c r="D13" s="28" t="s">
        <v>73</v>
      </c>
      <c r="E13" s="39">
        <v>1.9500000000000002</v>
      </c>
    </row>
    <row r="14" spans="1:5" ht="15" thickBot="1">
      <c r="A14" s="24" t="s">
        <v>42</v>
      </c>
      <c r="B14" s="21" t="s">
        <v>25</v>
      </c>
      <c r="C14" s="30">
        <v>1.79</v>
      </c>
      <c r="D14" s="28" t="s">
        <v>107</v>
      </c>
      <c r="E14" s="39">
        <v>1.91</v>
      </c>
    </row>
    <row r="15" spans="1:5" ht="15" thickBot="1">
      <c r="A15" s="23" t="s">
        <v>43</v>
      </c>
      <c r="B15" s="20" t="s">
        <v>38</v>
      </c>
      <c r="C15" s="29">
        <v>1.73</v>
      </c>
      <c r="D15" s="28" t="s">
        <v>49</v>
      </c>
      <c r="E15" s="39">
        <v>1.81</v>
      </c>
    </row>
    <row r="16" spans="1:5" ht="15" thickBot="1">
      <c r="A16" s="24" t="s">
        <v>44</v>
      </c>
      <c r="B16" s="21" t="s">
        <v>38</v>
      </c>
      <c r="C16" s="30">
        <v>1.68</v>
      </c>
      <c r="D16" s="28" t="s">
        <v>63</v>
      </c>
      <c r="E16" s="39">
        <v>1.29</v>
      </c>
    </row>
    <row r="17" spans="1:6" ht="15" thickBot="1">
      <c r="A17" s="37" t="s">
        <v>45</v>
      </c>
      <c r="B17" s="20" t="s">
        <v>25</v>
      </c>
      <c r="C17" s="29">
        <v>1.6</v>
      </c>
      <c r="D17" s="28" t="s">
        <v>84</v>
      </c>
      <c r="E17" s="39">
        <v>0.99</v>
      </c>
    </row>
    <row r="18" spans="1:6" ht="15" thickBot="1">
      <c r="A18" s="38" t="s">
        <v>46</v>
      </c>
      <c r="B18" s="21" t="s">
        <v>47</v>
      </c>
      <c r="C18" s="30">
        <v>1.57</v>
      </c>
      <c r="D18" s="28" t="s">
        <v>104</v>
      </c>
      <c r="E18" s="39">
        <v>0.7</v>
      </c>
    </row>
    <row r="19" spans="1:6" ht="15" thickBot="1">
      <c r="A19" s="23" t="s">
        <v>48</v>
      </c>
      <c r="B19" s="20" t="s">
        <v>49</v>
      </c>
      <c r="C19" s="29">
        <v>1.57</v>
      </c>
      <c r="D19" s="28" t="s">
        <v>118</v>
      </c>
      <c r="E19" s="39">
        <v>0.45</v>
      </c>
    </row>
    <row r="20" spans="1:6" ht="15" thickBot="1">
      <c r="A20" s="24" t="s">
        <v>50</v>
      </c>
      <c r="B20" s="21" t="s">
        <v>27</v>
      </c>
      <c r="C20" s="30">
        <v>1.57</v>
      </c>
      <c r="D20" s="28" t="s">
        <v>140</v>
      </c>
      <c r="E20">
        <v>96.910000000000011</v>
      </c>
    </row>
    <row r="21" spans="1:6" ht="15" thickBot="1">
      <c r="A21" s="23" t="s">
        <v>51</v>
      </c>
      <c r="B21" s="20" t="s">
        <v>27</v>
      </c>
      <c r="C21" s="29">
        <v>1.55</v>
      </c>
      <c r="D21" s="138" t="s">
        <v>190</v>
      </c>
      <c r="E21" s="137"/>
      <c r="F21" s="137"/>
    </row>
    <row r="22" spans="1:6" ht="15" thickBot="1">
      <c r="A22" s="24" t="s">
        <v>52</v>
      </c>
      <c r="B22" s="21" t="s">
        <v>53</v>
      </c>
      <c r="C22" s="30">
        <v>1.46</v>
      </c>
    </row>
    <row r="23" spans="1:6" ht="15" thickBot="1">
      <c r="A23" s="130" t="s">
        <v>54</v>
      </c>
      <c r="B23" s="20" t="s">
        <v>55</v>
      </c>
      <c r="C23" s="29">
        <v>1.44</v>
      </c>
    </row>
    <row r="24" spans="1:6" ht="15" thickBot="1">
      <c r="A24" s="24" t="s">
        <v>56</v>
      </c>
      <c r="B24" s="21" t="s">
        <v>57</v>
      </c>
      <c r="C24" s="30">
        <v>1.43</v>
      </c>
    </row>
    <row r="25" spans="1:6" ht="15" thickBot="1">
      <c r="A25" s="23" t="s">
        <v>58</v>
      </c>
      <c r="B25" s="20" t="s">
        <v>25</v>
      </c>
      <c r="C25" s="29">
        <v>1.42</v>
      </c>
    </row>
    <row r="26" spans="1:6" ht="15" thickBot="1">
      <c r="A26" s="24" t="s">
        <v>59</v>
      </c>
      <c r="B26" s="21" t="s">
        <v>47</v>
      </c>
      <c r="C26" s="30">
        <v>1.32</v>
      </c>
    </row>
    <row r="27" spans="1:6" ht="15" thickBot="1">
      <c r="A27" s="23" t="s">
        <v>60</v>
      </c>
      <c r="B27" s="20" t="s">
        <v>30</v>
      </c>
      <c r="C27" s="29">
        <v>1.31</v>
      </c>
    </row>
    <row r="28" spans="1:6" ht="15" thickBot="1">
      <c r="A28" s="24" t="s">
        <v>61</v>
      </c>
      <c r="B28" s="21" t="s">
        <v>38</v>
      </c>
      <c r="C28" s="30">
        <v>1.3</v>
      </c>
    </row>
    <row r="29" spans="1:6" ht="15" thickBot="1">
      <c r="A29" s="23" t="s">
        <v>62</v>
      </c>
      <c r="B29" s="20" t="s">
        <v>63</v>
      </c>
      <c r="C29" s="29">
        <v>1.29</v>
      </c>
    </row>
    <row r="30" spans="1:6" ht="29.4" thickBot="1">
      <c r="A30" s="24" t="s">
        <v>64</v>
      </c>
      <c r="B30" s="21" t="s">
        <v>27</v>
      </c>
      <c r="C30" s="30">
        <v>1.25</v>
      </c>
    </row>
    <row r="31" spans="1:6" ht="15" thickBot="1">
      <c r="A31" s="23" t="s">
        <v>65</v>
      </c>
      <c r="B31" s="20" t="s">
        <v>25</v>
      </c>
      <c r="C31" s="29">
        <v>1.24</v>
      </c>
    </row>
    <row r="32" spans="1:6" ht="15" thickBot="1">
      <c r="A32" s="24" t="s">
        <v>66</v>
      </c>
      <c r="B32" s="21" t="s">
        <v>67</v>
      </c>
      <c r="C32" s="30">
        <v>1.21</v>
      </c>
    </row>
    <row r="33" spans="1:3" ht="15" thickBot="1">
      <c r="A33" s="23" t="s">
        <v>68</v>
      </c>
      <c r="B33" s="20" t="s">
        <v>67</v>
      </c>
      <c r="C33" s="29">
        <v>1.17</v>
      </c>
    </row>
    <row r="34" spans="1:3" ht="15" thickBot="1">
      <c r="A34" s="24" t="s">
        <v>69</v>
      </c>
      <c r="B34" s="21" t="s">
        <v>27</v>
      </c>
      <c r="C34" s="30">
        <v>1.1599999999999999</v>
      </c>
    </row>
    <row r="35" spans="1:3" ht="15" thickBot="1">
      <c r="A35" s="23" t="s">
        <v>70</v>
      </c>
      <c r="B35" s="20" t="s">
        <v>34</v>
      </c>
      <c r="C35" s="29">
        <v>1.1200000000000001</v>
      </c>
    </row>
    <row r="36" spans="1:3" ht="15" thickBot="1">
      <c r="A36" s="24" t="s">
        <v>71</v>
      </c>
      <c r="B36" s="21" t="s">
        <v>55</v>
      </c>
      <c r="C36" s="30">
        <v>1.1000000000000001</v>
      </c>
    </row>
    <row r="37" spans="1:3" ht="15" thickBot="1">
      <c r="A37" s="23" t="s">
        <v>72</v>
      </c>
      <c r="B37" s="20" t="s">
        <v>73</v>
      </c>
      <c r="C37" s="29">
        <v>1.1000000000000001</v>
      </c>
    </row>
    <row r="38" spans="1:3" ht="29.4" thickBot="1">
      <c r="A38" s="24" t="s">
        <v>74</v>
      </c>
      <c r="B38" s="21" t="s">
        <v>38</v>
      </c>
      <c r="C38" s="30">
        <v>1.0900000000000001</v>
      </c>
    </row>
    <row r="39" spans="1:3" ht="15" thickBot="1">
      <c r="A39" s="23" t="s">
        <v>75</v>
      </c>
      <c r="B39" s="20" t="s">
        <v>67</v>
      </c>
      <c r="C39" s="29">
        <v>1.0900000000000001</v>
      </c>
    </row>
    <row r="40" spans="1:3" ht="15" thickBot="1">
      <c r="A40" s="24" t="s">
        <v>76</v>
      </c>
      <c r="B40" s="21" t="s">
        <v>25</v>
      </c>
      <c r="C40" s="30">
        <v>1.06</v>
      </c>
    </row>
    <row r="41" spans="1:3" ht="15" thickBot="1">
      <c r="A41" s="23" t="s">
        <v>77</v>
      </c>
      <c r="B41" s="20" t="s">
        <v>53</v>
      </c>
      <c r="C41" s="29">
        <v>1.05</v>
      </c>
    </row>
    <row r="42" spans="1:3" ht="15" thickBot="1">
      <c r="A42" s="24" t="s">
        <v>78</v>
      </c>
      <c r="B42" s="21" t="s">
        <v>55</v>
      </c>
      <c r="C42" s="30">
        <v>1.03</v>
      </c>
    </row>
    <row r="43" spans="1:3" ht="15" thickBot="1">
      <c r="A43" s="23" t="s">
        <v>79</v>
      </c>
      <c r="B43" s="20" t="s">
        <v>57</v>
      </c>
      <c r="C43" s="29">
        <v>1.02</v>
      </c>
    </row>
    <row r="44" spans="1:3" ht="29.4" thickBot="1">
      <c r="A44" s="24" t="s">
        <v>80</v>
      </c>
      <c r="B44" s="21" t="s">
        <v>27</v>
      </c>
      <c r="C44" s="30">
        <v>1.02</v>
      </c>
    </row>
    <row r="45" spans="1:3" ht="15" thickBot="1">
      <c r="A45" s="23" t="s">
        <v>81</v>
      </c>
      <c r="B45" s="20" t="s">
        <v>38</v>
      </c>
      <c r="C45" s="29">
        <v>1.01</v>
      </c>
    </row>
    <row r="46" spans="1:3" ht="15" thickBot="1">
      <c r="A46" s="24" t="s">
        <v>82</v>
      </c>
      <c r="B46" s="21" t="s">
        <v>67</v>
      </c>
      <c r="C46" s="30">
        <v>0.99</v>
      </c>
    </row>
    <row r="47" spans="1:3" ht="15" thickBot="1">
      <c r="A47" s="23" t="s">
        <v>83</v>
      </c>
      <c r="B47" s="20" t="s">
        <v>84</v>
      </c>
      <c r="C47" s="29">
        <v>0.99</v>
      </c>
    </row>
    <row r="48" spans="1:3" ht="15" thickBot="1">
      <c r="A48" s="24" t="s">
        <v>85</v>
      </c>
      <c r="B48" s="21" t="s">
        <v>47</v>
      </c>
      <c r="C48" s="30">
        <v>0.99</v>
      </c>
    </row>
    <row r="49" spans="1:3" ht="29.4" thickBot="1">
      <c r="A49" s="23" t="s">
        <v>86</v>
      </c>
      <c r="B49" s="20" t="s">
        <v>67</v>
      </c>
      <c r="C49" s="29">
        <v>0.97</v>
      </c>
    </row>
    <row r="50" spans="1:3" ht="29.4" thickBot="1">
      <c r="A50" s="24" t="s">
        <v>87</v>
      </c>
      <c r="B50" s="21" t="s">
        <v>55</v>
      </c>
      <c r="C50" s="30">
        <v>0.96</v>
      </c>
    </row>
    <row r="51" spans="1:3" ht="15" thickBot="1">
      <c r="A51" s="23" t="s">
        <v>88</v>
      </c>
      <c r="B51" s="20" t="s">
        <v>27</v>
      </c>
      <c r="C51" s="29">
        <v>0.95</v>
      </c>
    </row>
    <row r="52" spans="1:3" ht="15" thickBot="1">
      <c r="A52" s="24" t="s">
        <v>89</v>
      </c>
      <c r="B52" s="21" t="s">
        <v>53</v>
      </c>
      <c r="C52" s="30">
        <v>0.94</v>
      </c>
    </row>
    <row r="53" spans="1:3" ht="15" thickBot="1">
      <c r="A53" s="23" t="s">
        <v>90</v>
      </c>
      <c r="B53" s="20" t="s">
        <v>38</v>
      </c>
      <c r="C53" s="29">
        <v>0.91</v>
      </c>
    </row>
    <row r="54" spans="1:3" ht="15" thickBot="1">
      <c r="A54" s="24" t="s">
        <v>91</v>
      </c>
      <c r="B54" s="21" t="s">
        <v>38</v>
      </c>
      <c r="C54" s="30">
        <v>0.89</v>
      </c>
    </row>
    <row r="55" spans="1:3" ht="15" thickBot="1">
      <c r="A55" s="23" t="s">
        <v>92</v>
      </c>
      <c r="B55" s="20" t="s">
        <v>73</v>
      </c>
      <c r="C55" s="29">
        <v>0.85</v>
      </c>
    </row>
    <row r="56" spans="1:3" ht="15" thickBot="1">
      <c r="A56" s="24" t="s">
        <v>93</v>
      </c>
      <c r="B56" s="21" t="s">
        <v>67</v>
      </c>
      <c r="C56" s="30">
        <v>0.83</v>
      </c>
    </row>
    <row r="57" spans="1:3" ht="15" thickBot="1">
      <c r="A57" s="23" t="s">
        <v>94</v>
      </c>
      <c r="B57" s="20" t="s">
        <v>47</v>
      </c>
      <c r="C57" s="29">
        <v>0.83</v>
      </c>
    </row>
    <row r="58" spans="1:3" ht="15" thickBot="1">
      <c r="A58" s="24" t="s">
        <v>95</v>
      </c>
      <c r="B58" s="21" t="s">
        <v>30</v>
      </c>
      <c r="C58" s="30">
        <v>0.81</v>
      </c>
    </row>
    <row r="59" spans="1:3" ht="15" thickBot="1">
      <c r="A59" s="23" t="s">
        <v>96</v>
      </c>
      <c r="B59" s="20" t="s">
        <v>27</v>
      </c>
      <c r="C59" s="29">
        <v>0.78</v>
      </c>
    </row>
    <row r="60" spans="1:3" ht="15" thickBot="1">
      <c r="A60" s="24" t="s">
        <v>97</v>
      </c>
      <c r="B60" s="21" t="s">
        <v>27</v>
      </c>
      <c r="C60" s="30">
        <v>0.77</v>
      </c>
    </row>
    <row r="61" spans="1:3" ht="15" thickBot="1">
      <c r="A61" s="23" t="s">
        <v>98</v>
      </c>
      <c r="B61" s="20" t="s">
        <v>27</v>
      </c>
      <c r="C61" s="29">
        <v>0.75</v>
      </c>
    </row>
    <row r="62" spans="1:3" ht="15" thickBot="1">
      <c r="A62" s="24" t="s">
        <v>99</v>
      </c>
      <c r="B62" s="21" t="s">
        <v>34</v>
      </c>
      <c r="C62" s="30">
        <v>0.74</v>
      </c>
    </row>
    <row r="63" spans="1:3" ht="29.4" thickBot="1">
      <c r="A63" s="23" t="s">
        <v>100</v>
      </c>
      <c r="B63" s="20" t="s">
        <v>27</v>
      </c>
      <c r="C63" s="29">
        <v>0.73</v>
      </c>
    </row>
    <row r="64" spans="1:3" ht="29.4" thickBot="1">
      <c r="A64" s="24" t="s">
        <v>101</v>
      </c>
      <c r="B64" s="21" t="s">
        <v>38</v>
      </c>
      <c r="C64" s="30">
        <v>0.73</v>
      </c>
    </row>
    <row r="65" spans="1:3" ht="15" thickBot="1">
      <c r="A65" s="23" t="s">
        <v>102</v>
      </c>
      <c r="B65" s="20" t="s">
        <v>53</v>
      </c>
      <c r="C65" s="29">
        <v>0.71</v>
      </c>
    </row>
    <row r="66" spans="1:3" ht="15" thickBot="1">
      <c r="A66" s="24" t="s">
        <v>103</v>
      </c>
      <c r="B66" s="21" t="s">
        <v>104</v>
      </c>
      <c r="C66" s="30">
        <v>0.7</v>
      </c>
    </row>
    <row r="67" spans="1:3" ht="15" thickBot="1">
      <c r="A67" s="23" t="s">
        <v>105</v>
      </c>
      <c r="B67" s="20" t="s">
        <v>30</v>
      </c>
      <c r="C67" s="29">
        <v>0.69</v>
      </c>
    </row>
    <row r="68" spans="1:3" ht="15" thickBot="1">
      <c r="A68" s="24" t="s">
        <v>106</v>
      </c>
      <c r="B68" s="21" t="s">
        <v>107</v>
      </c>
      <c r="C68" s="30">
        <v>0.69</v>
      </c>
    </row>
    <row r="69" spans="1:3" ht="15" thickBot="1">
      <c r="A69" s="23" t="s">
        <v>108</v>
      </c>
      <c r="B69" s="20" t="s">
        <v>55</v>
      </c>
      <c r="C69" s="29">
        <v>0.66</v>
      </c>
    </row>
    <row r="70" spans="1:3" ht="15" thickBot="1">
      <c r="A70" s="24" t="s">
        <v>109</v>
      </c>
      <c r="B70" s="21" t="s">
        <v>38</v>
      </c>
      <c r="C70" s="30">
        <v>0.64</v>
      </c>
    </row>
    <row r="71" spans="1:3" ht="15" thickBot="1">
      <c r="A71" s="23" t="s">
        <v>110</v>
      </c>
      <c r="B71" s="20" t="s">
        <v>107</v>
      </c>
      <c r="C71" s="29">
        <v>0.56999999999999995</v>
      </c>
    </row>
    <row r="72" spans="1:3" ht="15" thickBot="1">
      <c r="A72" s="24" t="s">
        <v>111</v>
      </c>
      <c r="B72" s="21" t="s">
        <v>53</v>
      </c>
      <c r="C72" s="30">
        <v>0.56000000000000005</v>
      </c>
    </row>
    <row r="73" spans="1:3" ht="29.4" thickBot="1">
      <c r="A73" s="23" t="s">
        <v>112</v>
      </c>
      <c r="B73" s="20" t="s">
        <v>27</v>
      </c>
      <c r="C73" s="29">
        <v>0.49</v>
      </c>
    </row>
    <row r="74" spans="1:3" ht="15" thickBot="1">
      <c r="A74" s="24" t="s">
        <v>113</v>
      </c>
      <c r="B74" s="21" t="s">
        <v>38</v>
      </c>
      <c r="C74" s="30">
        <v>0.49</v>
      </c>
    </row>
    <row r="75" spans="1:3" ht="15" thickBot="1">
      <c r="A75" s="23" t="s">
        <v>114</v>
      </c>
      <c r="B75" s="20" t="s">
        <v>57</v>
      </c>
      <c r="C75" s="29">
        <v>0.48</v>
      </c>
    </row>
    <row r="76" spans="1:3" ht="15" thickBot="1">
      <c r="A76" s="24" t="s">
        <v>115</v>
      </c>
      <c r="B76" s="21" t="s">
        <v>53</v>
      </c>
      <c r="C76" s="30">
        <v>0.45</v>
      </c>
    </row>
    <row r="77" spans="1:3" ht="15" thickBot="1">
      <c r="A77" s="23" t="s">
        <v>116</v>
      </c>
      <c r="B77" s="20" t="s">
        <v>27</v>
      </c>
      <c r="C77" s="29">
        <v>0.45</v>
      </c>
    </row>
    <row r="78" spans="1:3" ht="15" thickBot="1">
      <c r="A78" s="24" t="s">
        <v>117</v>
      </c>
      <c r="B78" s="21" t="s">
        <v>118</v>
      </c>
      <c r="C78" s="30">
        <v>0.45</v>
      </c>
    </row>
    <row r="79" spans="1:3" ht="15" thickBot="1">
      <c r="A79" s="23" t="s">
        <v>119</v>
      </c>
      <c r="B79" s="20" t="s">
        <v>67</v>
      </c>
      <c r="C79" s="29">
        <v>0.44</v>
      </c>
    </row>
    <row r="80" spans="1:3" ht="29.4" thickBot="1">
      <c r="A80" s="24" t="s">
        <v>120</v>
      </c>
      <c r="B80" s="21" t="s">
        <v>30</v>
      </c>
      <c r="C80" s="30">
        <v>0.44</v>
      </c>
    </row>
    <row r="81" spans="1:3" ht="15" thickBot="1">
      <c r="A81" s="23" t="s">
        <v>121</v>
      </c>
      <c r="B81" s="20" t="s">
        <v>38</v>
      </c>
      <c r="C81" s="29">
        <v>0.41</v>
      </c>
    </row>
    <row r="82" spans="1:3" ht="29.4" thickBot="1">
      <c r="A82" s="24" t="s">
        <v>122</v>
      </c>
      <c r="B82" s="21" t="s">
        <v>25</v>
      </c>
      <c r="C82" s="30">
        <v>0.4</v>
      </c>
    </row>
    <row r="83" spans="1:3" ht="15" thickBot="1">
      <c r="A83" s="23" t="s">
        <v>123</v>
      </c>
      <c r="B83" s="20" t="s">
        <v>55</v>
      </c>
      <c r="C83" s="29">
        <v>0.39</v>
      </c>
    </row>
    <row r="84" spans="1:3" ht="15" thickBot="1">
      <c r="A84" s="24" t="s">
        <v>124</v>
      </c>
      <c r="B84" s="21" t="s">
        <v>47</v>
      </c>
      <c r="C84" s="30">
        <v>0.39</v>
      </c>
    </row>
    <row r="85" spans="1:3" ht="29.4" thickBot="1">
      <c r="A85" s="23" t="s">
        <v>125</v>
      </c>
      <c r="B85" s="20" t="s">
        <v>25</v>
      </c>
      <c r="C85" s="29">
        <v>0.38</v>
      </c>
    </row>
    <row r="86" spans="1:3" ht="15" thickBot="1">
      <c r="A86" s="24" t="s">
        <v>126</v>
      </c>
      <c r="B86" s="21" t="s">
        <v>107</v>
      </c>
      <c r="C86" s="30">
        <v>0.37</v>
      </c>
    </row>
    <row r="87" spans="1:3" ht="15" thickBot="1">
      <c r="A87" s="23" t="s">
        <v>127</v>
      </c>
      <c r="B87" s="20" t="s">
        <v>67</v>
      </c>
      <c r="C87" s="29">
        <v>0.37</v>
      </c>
    </row>
    <row r="88" spans="1:3" ht="15" thickBot="1">
      <c r="A88" s="24" t="s">
        <v>128</v>
      </c>
      <c r="B88" s="21" t="s">
        <v>27</v>
      </c>
      <c r="C88" s="30">
        <v>0.32</v>
      </c>
    </row>
    <row r="89" spans="1:3" ht="15" thickBot="1">
      <c r="A89" s="23" t="s">
        <v>129</v>
      </c>
      <c r="B89" s="20" t="s">
        <v>38</v>
      </c>
      <c r="C89" s="29">
        <v>0.31</v>
      </c>
    </row>
    <row r="90" spans="1:3" ht="15" thickBot="1">
      <c r="A90" s="24" t="s">
        <v>130</v>
      </c>
      <c r="B90" s="21" t="s">
        <v>47</v>
      </c>
      <c r="C90" s="30">
        <v>0.3</v>
      </c>
    </row>
    <row r="91" spans="1:3" ht="15" thickBot="1">
      <c r="A91" s="23" t="s">
        <v>131</v>
      </c>
      <c r="B91" s="20" t="s">
        <v>107</v>
      </c>
      <c r="C91" s="29">
        <v>0.28000000000000003</v>
      </c>
    </row>
    <row r="92" spans="1:3" ht="15" thickBot="1">
      <c r="A92" s="24" t="s">
        <v>132</v>
      </c>
      <c r="B92" s="21" t="s">
        <v>55</v>
      </c>
      <c r="C92" s="30">
        <v>0.27</v>
      </c>
    </row>
    <row r="93" spans="1:3" ht="15" thickBot="1">
      <c r="A93" s="23" t="s">
        <v>133</v>
      </c>
      <c r="B93" s="20" t="s">
        <v>25</v>
      </c>
      <c r="C93" s="29">
        <v>0.27</v>
      </c>
    </row>
    <row r="94" spans="1:3" ht="15" thickBot="1">
      <c r="A94" s="24" t="s">
        <v>134</v>
      </c>
      <c r="B94" s="21" t="s">
        <v>38</v>
      </c>
      <c r="C94" s="30">
        <v>0.24</v>
      </c>
    </row>
    <row r="95" spans="1:3" ht="15" thickBot="1">
      <c r="A95" s="23" t="s">
        <v>135</v>
      </c>
      <c r="B95" s="20" t="s">
        <v>49</v>
      </c>
      <c r="C95" s="29">
        <v>0.24</v>
      </c>
    </row>
    <row r="96" spans="1:3" ht="15" thickBot="1">
      <c r="A96" s="24" t="s">
        <v>136</v>
      </c>
      <c r="B96" s="21" t="s">
        <v>55</v>
      </c>
      <c r="C96" s="30">
        <v>0.18</v>
      </c>
    </row>
    <row r="97" spans="1:3" ht="15" thickBot="1">
      <c r="A97" s="25" t="s">
        <v>137</v>
      </c>
      <c r="B97" s="20" t="s">
        <v>47</v>
      </c>
      <c r="C97" s="29">
        <v>0</v>
      </c>
    </row>
    <row r="98" spans="1:3" ht="15" thickBot="1">
      <c r="A98" s="26" t="s">
        <v>138</v>
      </c>
      <c r="B98" s="22"/>
      <c r="C98" s="31">
        <v>96.91</v>
      </c>
    </row>
  </sheetData>
  <mergeCells count="2">
    <mergeCell ref="D21:F21"/>
    <mergeCell ref="A1:C1"/>
  </mergeCells>
  <hyperlinks>
    <hyperlink ref="A20" r:id="rId2" display="https://www.rupeevest.com/Mutual-Fund-Holdings/208883" xr:uid="{1F7A4073-8792-459D-9C11-4AC3F7AEC7BA}"/>
    <hyperlink ref="A21" r:id="rId3" display="https://www.rupeevest.com/Mutual-Fund-Holdings/132814" xr:uid="{B42DB84D-0AAF-401B-9926-B6367CCE3190}"/>
    <hyperlink ref="A22" r:id="rId4" display="https://www.rupeevest.com/Mutual-Fund-Holdings/209550" xr:uid="{EBE5ADDA-0F61-4E19-AA64-689EA54993D1}"/>
    <hyperlink ref="A23" r:id="rId5" display="https://www.rupeevest.com/Mutual-Fund-Holdings/122275" xr:uid="{92FFB4AE-A5C8-46E9-A7FB-7E1889E02242}"/>
    <hyperlink ref="A24" r:id="rId6" display="https://www.rupeevest.com/Mutual-Fund-Holdings/213838" xr:uid="{1774FB5C-B260-4007-8DAF-2B4335F532AC}"/>
    <hyperlink ref="A25" r:id="rId7" display="https://www.rupeevest.com/Mutual-Fund-Holdings/235355" xr:uid="{177B7139-5BC1-47AE-A22F-EB4774A335A3}"/>
    <hyperlink ref="A26" r:id="rId8" display="https://www.rupeevest.com/Mutual-Fund-Holdings/317635" xr:uid="{743A9780-F040-4BD8-BF32-17F221B569BF}"/>
    <hyperlink ref="A27" r:id="rId9" display="https://www.rupeevest.com/Mutual-Fund-Holdings/109930" xr:uid="{8380E344-E35E-4D90-BC39-2FB7373E1A7B}"/>
    <hyperlink ref="A28" r:id="rId10" display="https://www.rupeevest.com/Mutual-Fund-Holdings/100480" xr:uid="{2B2B8991-1E5D-457A-82A9-769911A0717D}"/>
    <hyperlink ref="A29" r:id="rId11" display="https://www.rupeevest.com/Mutual-Fund-Holdings/190059" xr:uid="{485B08B3-AD07-479B-B529-0DBFF8D777EA}"/>
    <hyperlink ref="A30" r:id="rId12" display="https://www.rupeevest.com/Mutual-Fund-Holdings/217379" xr:uid="{1266E7FD-40F5-4FEA-A056-E1B87925F365}"/>
    <hyperlink ref="A31" r:id="rId13" display="https://www.rupeevest.com/Mutual-Fund-Holdings/100257" xr:uid="{B0D6B590-C5F3-46FD-BF7F-917BCA96277A}"/>
    <hyperlink ref="A32" r:id="rId14" display="https://www.rupeevest.com/Mutual-Fund-Holdings/132555" xr:uid="{E7FBBE5E-238E-45F2-AAD2-80824436B4E6}"/>
    <hyperlink ref="A33" r:id="rId15" display="https://www.rupeevest.com/Mutual-Fund-Holdings/113683" xr:uid="{E0F5A26C-54BC-4B3A-A717-D553AF891F78}"/>
    <hyperlink ref="A34" r:id="rId16" display="https://www.rupeevest.com/Mutual-Fund-Holdings/218756" xr:uid="{7FECBA38-C24F-4398-93F1-2440BC66433D}"/>
    <hyperlink ref="A35" r:id="rId17" display="https://www.rupeevest.com/Mutual-Fund-Holdings/132777" xr:uid="{3EB2B4A6-5021-4038-9E5A-002662818EDE}"/>
    <hyperlink ref="A36" r:id="rId18" display="https://www.rupeevest.com/Mutual-Fund-Holdings/100103" xr:uid="{408B7C07-3AB7-4DFA-BB33-BC101F98419A}"/>
    <hyperlink ref="A37" r:id="rId19" display="https://www.rupeevest.com/Mutual-Fund-Holdings/100850" xr:uid="{6E980BA4-E2DD-4611-BF34-4E2D44FEBDE7}"/>
    <hyperlink ref="A38" r:id="rId20" display="https://www.rupeevest.com/Mutual-Fund-Holdings/117334" xr:uid="{23DAF294-5F57-427F-81ED-8A479EF3F01F}"/>
    <hyperlink ref="A39" r:id="rId21" display="https://www.rupeevest.com/Mutual-Fund-Holdings/132779" xr:uid="{51E6FE67-92D1-4ED8-9902-97114DE28796}"/>
    <hyperlink ref="A40" r:id="rId22" display="https://www.rupeevest.com/Mutual-Fund-Holdings/124494" xr:uid="{E0C84652-5DBD-43C8-A6CF-2ED83444AC19}"/>
    <hyperlink ref="A41" r:id="rId23" display="https://www.rupeevest.com/Mutual-Fund-Holdings/215367" xr:uid="{C2293983-5738-445E-9D7B-23F3F9BE10DE}"/>
    <hyperlink ref="A42" r:id="rId24" display="https://www.rupeevest.com/Mutual-Fund-Holdings/100049" xr:uid="{63BDBD4E-7657-4D04-9A64-A89CC402B972}"/>
    <hyperlink ref="A43" r:id="rId25" display="https://www.rupeevest.com/Mutual-Fund-Holdings/293380" xr:uid="{D664466A-D810-47FD-B7F2-82DC0B598004}"/>
    <hyperlink ref="A44" r:id="rId26" display="https://www.rupeevest.com/Mutual-Fund-Holdings/208280" xr:uid="{45E845CD-5E07-479B-8EF0-009E6A1939A2}"/>
    <hyperlink ref="A45" r:id="rId27" display="https://www.rupeevest.com/Mutual-Fund-Holdings/208361" xr:uid="{26FF9E2F-9528-45CE-9432-303DAE0D7859}"/>
    <hyperlink ref="A46" r:id="rId28" display="https://www.rupeevest.com/Mutual-Fund-Holdings/317139" xr:uid="{7AC10B34-D391-4B94-98FC-4D9E71A82B97}"/>
    <hyperlink ref="A47" r:id="rId29" display="https://www.rupeevest.com/Mutual-Fund-Holdings/132827" xr:uid="{64D218DE-1090-40D9-8D69-E89A4D446EC9}"/>
    <hyperlink ref="A48" r:id="rId30" display="https://www.rupeevest.com/Mutual-Fund-Holdings/302988" xr:uid="{1EE2C40C-19BD-4607-B04F-4A0E1F4C4D25}"/>
    <hyperlink ref="A49" r:id="rId31" display="https://www.rupeevest.com/Mutual-Fund-Holdings/100104" xr:uid="{3A4D1AD3-A4BC-443C-A071-56BE1719D545}"/>
    <hyperlink ref="A50" r:id="rId32" display="https://www.rupeevest.com/Mutual-Fund-Holdings/100093" xr:uid="{8D18BBAA-8F81-4439-AEA4-1C836B34A367}"/>
    <hyperlink ref="A51" r:id="rId33" display="https://www.rupeevest.com/Mutual-Fund-Holdings/200055" xr:uid="{D7AEBD62-9670-454F-B31F-012468F1D27E}"/>
    <hyperlink ref="A52" r:id="rId34" display="https://www.rupeevest.com/Mutual-Fund-Holdings/132478" xr:uid="{5D427B73-D40E-49AA-8369-90F537266D78}"/>
    <hyperlink ref="A53" r:id="rId35" display="https://www.rupeevest.com/Mutual-Fund-Holdings/215477" xr:uid="{F4D161DE-FDFC-40FD-9D79-4322524A5520}"/>
    <hyperlink ref="A54" r:id="rId36" display="https://www.rupeevest.com/Mutual-Fund-Holdings/105790" xr:uid="{4953C0B6-AAE6-4C3C-80A7-2FCC484E0D85}"/>
    <hyperlink ref="A55" r:id="rId37" display="https://www.rupeevest.com/Mutual-Fund-Holdings/222055" xr:uid="{2CA4CA69-D0C6-4060-9BE2-5F1B7ED18CC6}"/>
    <hyperlink ref="A56" r:id="rId38" display="https://www.rupeevest.com/Mutual-Fund-Holdings/249927" xr:uid="{0FEC5D5B-7816-407C-BB17-156FBD82DF18}"/>
    <hyperlink ref="A57" r:id="rId39" display="https://www.rupeevest.com/Mutual-Fund-Holdings/100251" xr:uid="{A60858ED-0089-4C8D-B118-05EE25BA19C7}"/>
    <hyperlink ref="A58" r:id="rId40" display="https://www.rupeevest.com/Mutual-Fund-Holdings/100067" xr:uid="{15881378-B493-4FDF-9573-4A30C31B2A31}"/>
    <hyperlink ref="A59" r:id="rId41" display="https://www.rupeevest.com/Mutual-Fund-Holdings/190071" xr:uid="{FE24412B-B0ED-4791-9DA9-FC90779E42D0}"/>
    <hyperlink ref="A60" r:id="rId42" display="https://www.rupeevest.com/Mutual-Fund-Holdings/132477" xr:uid="{F88D2794-D492-4AB7-A15A-DA574463AE31}"/>
    <hyperlink ref="A61" r:id="rId43" display="https://www.rupeevest.com/Mutual-Fund-Holdings/209902" xr:uid="{5AB37C16-CA99-4C80-9903-980ABE76DB91}"/>
    <hyperlink ref="A62" r:id="rId44" display="https://www.rupeevest.com/Mutual-Fund-Holdings/126299" xr:uid="{535B844B-B25C-49FE-B2E5-09967AB73AF0}"/>
    <hyperlink ref="A63" r:id="rId45" display="https://www.rupeevest.com/Mutual-Fund-Holdings/132720" xr:uid="{6C33FEF0-B631-4410-BB93-0ED49FB65669}"/>
    <hyperlink ref="A64" r:id="rId46" display="https://www.rupeevest.com/Mutual-Fund-Holdings/200515" xr:uid="{3D9CF0E3-CBAD-4D48-9CA4-248F0094D14F}"/>
    <hyperlink ref="A65" r:id="rId47" display="https://www.rupeevest.com/Mutual-Fund-Holdings/208045" xr:uid="{EE1F4A77-F76D-4A25-A511-A624BEF2E253}"/>
    <hyperlink ref="A66" r:id="rId48" display="https://www.rupeevest.com/Mutual-Fund-Holdings/131344" xr:uid="{83D48C81-6015-4FFC-95A8-72CCAE81E48C}"/>
    <hyperlink ref="A67" r:id="rId49" display="https://www.rupeevest.com/Mutual-Fund-Holdings/132830" xr:uid="{E7547337-E0AC-4847-BA3F-930E59D3536A}"/>
    <hyperlink ref="A68" r:id="rId50" display="https://www.rupeevest.com/Mutual-Fund-Holdings/106395" xr:uid="{85428EE9-87D5-41C4-A4B4-C7E5592163B9}"/>
    <hyperlink ref="A69" r:id="rId51" display="https://www.rupeevest.com/Mutual-Fund-Holdings/219494" xr:uid="{1B72CDF9-B080-4C4E-9B96-13CB16523E0D}"/>
    <hyperlink ref="A70" r:id="rId52" display="https://www.rupeevest.com/Mutual-Fund-Holdings/102355" xr:uid="{006413FF-465C-4DE4-9F2B-6D72A940331C}"/>
    <hyperlink ref="A71" r:id="rId53" display="https://www.rupeevest.com/Mutual-Fund-Holdings/295872" xr:uid="{53F886BF-F5C0-40B9-8FCA-E0EEA60FE300}"/>
    <hyperlink ref="A72" r:id="rId54" display="https://www.rupeevest.com/Mutual-Fund-Holdings/100043" xr:uid="{C3FC09A0-A4C9-47FF-A67D-069FEE543360}"/>
    <hyperlink ref="A73" r:id="rId55" display="https://www.rupeevest.com/Mutual-Fund-Holdings/303180" xr:uid="{000EDD96-EBF1-477B-9FCE-C63FB6516A23}"/>
    <hyperlink ref="A74" r:id="rId56" display="https://www.rupeevest.com/Mutual-Fund-Holdings/122113" xr:uid="{8497C4CA-4E85-4803-BE5F-AE40E1A62F1C}"/>
    <hyperlink ref="A75" r:id="rId57" display="https://www.rupeevest.com/Mutual-Fund-Holdings/132644" xr:uid="{41A78135-BF1E-4E94-8C77-DAC37A48FEAA}"/>
    <hyperlink ref="A76" r:id="rId58" display="https://www.rupeevest.com/Mutual-Fund-Holdings/132497" xr:uid="{FAE90453-B2DC-42E3-B9AF-916C807A57F4}"/>
    <hyperlink ref="A77" r:id="rId59" display="https://www.rupeevest.com/Mutual-Fund-Holdings/132149" xr:uid="{8ACDC286-9918-4E20-8C98-F5AED0FF3B91}"/>
    <hyperlink ref="A78" r:id="rId60" display="https://www.rupeevest.com/Mutual-Fund-Holdings/123395" xr:uid="{EE813F11-0546-45F7-B685-E8E663B1DE6F}"/>
    <hyperlink ref="A79" r:id="rId61" display="https://www.rupeevest.com/Mutual-Fund-Holdings/126371" xr:uid="{05BE489F-47B4-44F7-A60A-ABFF59FBDA44}"/>
    <hyperlink ref="A80" r:id="rId62" display="https://www.rupeevest.com/Mutual-Fund-Holdings/280713" xr:uid="{3816F6ED-2C91-44C1-A344-50962D601FFC}"/>
    <hyperlink ref="A81" r:id="rId63" display="https://www.rupeevest.com/Mutual-Fund-Holdings/100403" xr:uid="{7754FAEB-61F9-4D16-A66C-34F48DD9997C}"/>
    <hyperlink ref="A82" r:id="rId64" display="https://www.rupeevest.com/Mutual-Fund-Holdings/315602" xr:uid="{16714E52-8015-4121-9FEA-1B145EA52A68}"/>
    <hyperlink ref="A83" r:id="rId65" display="https://www.rupeevest.com/Mutual-Fund-Holdings/113375" xr:uid="{FC3DDB60-4EB4-400B-BC5C-C3796B002C8F}"/>
    <hyperlink ref="A84" r:id="rId66" display="https://www.rupeevest.com/Mutual-Fund-Holdings/293862" xr:uid="{E9B59A36-1572-4FD6-9592-7494239A14A8}"/>
    <hyperlink ref="A85" r:id="rId67" display="https://www.rupeevest.com/Mutual-Fund-Holdings/100660" xr:uid="{A723226D-9878-4D54-B906-3BE3224A0E8E}"/>
    <hyperlink ref="A86" r:id="rId68" display="https://www.rupeevest.com/Mutual-Fund-Holdings/106285" xr:uid="{17296AF1-A75D-4BE9-91F1-70D45E695881}"/>
    <hyperlink ref="A87" r:id="rId69" display="https://www.rupeevest.com/Mutual-Fund-Holdings/132514" xr:uid="{558656CC-AA34-435B-90C0-85F86417BE8C}"/>
    <hyperlink ref="A88" r:id="rId70" display="https://www.rupeevest.com/Mutual-Fund-Holdings/132187" xr:uid="{5CA34A56-9A71-4FBA-B282-427914746599}"/>
    <hyperlink ref="A89" r:id="rId71" display="https://www.rupeevest.com/Mutual-Fund-Holdings/214179" xr:uid="{022F4AD8-3EE7-4163-BC8D-F5E7FCA8C041}"/>
    <hyperlink ref="A90" r:id="rId72" display="https://www.rupeevest.com/Mutual-Fund-Holdings/296214" xr:uid="{032D5927-6E5C-462F-B19F-132519DA1475}"/>
    <hyperlink ref="A91" r:id="rId73" display="https://www.rupeevest.com/Mutual-Fund-Holdings/106401" xr:uid="{FEEB663A-D6B1-4720-A5BB-79549EDC5AB7}"/>
    <hyperlink ref="A92" r:id="rId74" display="https://www.rupeevest.com/Mutual-Fund-Holdings/208763" xr:uid="{F13E2BF9-B4CA-43B7-A491-99BC8173968E}"/>
    <hyperlink ref="A93" r:id="rId75" display="https://www.rupeevest.com/Mutual-Fund-Holdings/100674" xr:uid="{A7411AA6-A3AE-4E98-8D24-95FC9663943A}"/>
    <hyperlink ref="A94" r:id="rId76" display="https://www.rupeevest.com/Mutual-Fund-Holdings/100182" xr:uid="{55D7D7A1-58DE-441C-A21D-FE56BD5D3035}"/>
    <hyperlink ref="A95" r:id="rId77" display="https://www.rupeevest.com/Mutual-Fund-Holdings/100483" xr:uid="{DCFCEC3B-C190-4A92-953F-3A27161B0507}"/>
    <hyperlink ref="A96" r:id="rId78" display="https://www.rupeevest.com/Mutual-Fund-Holdings/132259" xr:uid="{29675D31-F3F6-4051-AFE7-90DABB585350}"/>
  </hyperlinks>
  <pageMargins left="0.7" right="0.7" top="0.75" bottom="0.75" header="0.3" footer="0.3"/>
  <pageSetup orientation="portrait" r:id="rId79"/>
  <rowBreaks count="1" manualBreakCount="1">
    <brk id="20" max="16383" man="1"/>
  </rowBreaks>
  <colBreaks count="1" manualBreakCount="1">
    <brk id="7" max="1048575" man="1"/>
  </colBreaks>
  <drawing r:id="rId80"/>
  <legacyDrawing r:id="rId8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F111-110B-4CF4-B44E-9B33228B5769}">
  <sheetPr>
    <pageSetUpPr autoPageBreaks="0"/>
  </sheetPr>
  <dimension ref="A2:R45"/>
  <sheetViews>
    <sheetView showGridLines="0" zoomScale="80" zoomScaleNormal="80" workbookViewId="0">
      <selection activeCell="R50" sqref="R50"/>
    </sheetView>
  </sheetViews>
  <sheetFormatPr defaultRowHeight="14.4"/>
  <cols>
    <col min="1" max="1" width="1.88671875" customWidth="1"/>
    <col min="3" max="3" width="18.21875" customWidth="1"/>
    <col min="4" max="4" width="12.6640625" customWidth="1"/>
    <col min="6" max="6" width="12.21875" customWidth="1"/>
    <col min="7" max="7" width="16" customWidth="1"/>
    <col min="8" max="8" width="10.88671875" customWidth="1"/>
    <col min="9" max="9" width="16.6640625" customWidth="1"/>
    <col min="11" max="11" width="11.77734375" customWidth="1"/>
    <col min="12" max="13" width="14.88671875" customWidth="1"/>
    <col min="15" max="15" width="13.21875" customWidth="1"/>
    <col min="16" max="16" width="16.5546875" customWidth="1"/>
    <col min="17" max="17" width="12.21875" customWidth="1"/>
    <col min="18" max="18" width="17.88671875" customWidth="1"/>
  </cols>
  <sheetData>
    <row r="2" spans="1:5">
      <c r="A2" s="40"/>
      <c r="B2" s="41"/>
      <c r="C2" s="43" t="s">
        <v>143</v>
      </c>
      <c r="D2" s="41"/>
      <c r="E2" s="41"/>
    </row>
    <row r="3" spans="1:5">
      <c r="A3" s="40"/>
      <c r="B3" s="45" t="s">
        <v>144</v>
      </c>
      <c r="C3" s="45" t="s">
        <v>145</v>
      </c>
      <c r="D3" s="45" t="s">
        <v>146</v>
      </c>
      <c r="E3" s="45" t="s">
        <v>147</v>
      </c>
    </row>
    <row r="4" spans="1:5">
      <c r="B4" s="71">
        <v>10</v>
      </c>
      <c r="C4" s="72">
        <v>1200000</v>
      </c>
      <c r="D4" s="71">
        <v>3867115</v>
      </c>
      <c r="E4" s="48">
        <v>0.22159999999999999</v>
      </c>
    </row>
    <row r="5" spans="1:5">
      <c r="B5" s="71">
        <v>7</v>
      </c>
      <c r="C5" s="73">
        <v>840000</v>
      </c>
      <c r="D5" s="71">
        <v>2122776</v>
      </c>
      <c r="E5" s="48">
        <v>0.26069999999999999</v>
      </c>
    </row>
    <row r="6" spans="1:5">
      <c r="B6" s="71">
        <v>5</v>
      </c>
      <c r="C6" s="71">
        <v>600000</v>
      </c>
      <c r="D6" s="74">
        <v>1110963</v>
      </c>
      <c r="E6" s="48">
        <v>0.2492</v>
      </c>
    </row>
    <row r="7" spans="1:5">
      <c r="B7" s="71">
        <v>3</v>
      </c>
      <c r="C7" s="72">
        <v>360000</v>
      </c>
      <c r="D7" s="71">
        <v>510191</v>
      </c>
      <c r="E7" s="51">
        <v>0.2402</v>
      </c>
    </row>
    <row r="8" spans="1:5">
      <c r="B8" s="71">
        <v>2</v>
      </c>
      <c r="C8" s="71">
        <v>240000</v>
      </c>
      <c r="D8" s="71">
        <v>280942</v>
      </c>
      <c r="E8" s="48">
        <v>0.15959999999999999</v>
      </c>
    </row>
    <row r="9" spans="1:5">
      <c r="B9" s="71">
        <v>1</v>
      </c>
      <c r="C9" s="71">
        <v>120000</v>
      </c>
      <c r="D9" s="71">
        <v>129463</v>
      </c>
      <c r="E9" s="48">
        <v>0.14960000000000001</v>
      </c>
    </row>
    <row r="10" spans="1:5">
      <c r="B10" s="42"/>
      <c r="C10" s="47"/>
      <c r="D10" s="44"/>
      <c r="E10" s="42"/>
    </row>
    <row r="11" spans="1:5">
      <c r="B11" s="42"/>
      <c r="C11" s="42"/>
      <c r="D11" s="42"/>
      <c r="E11" s="42"/>
    </row>
    <row r="13" spans="1:5">
      <c r="A13" s="17"/>
    </row>
    <row r="21" spans="2:5">
      <c r="B21" s="41"/>
      <c r="C21" s="43" t="s">
        <v>148</v>
      </c>
      <c r="D21" s="41"/>
      <c r="E21" s="41"/>
    </row>
    <row r="22" spans="2:5">
      <c r="B22" s="45" t="s">
        <v>144</v>
      </c>
      <c r="C22" s="45" t="s">
        <v>145</v>
      </c>
      <c r="D22" s="45" t="s">
        <v>146</v>
      </c>
      <c r="E22" s="45" t="s">
        <v>147</v>
      </c>
    </row>
    <row r="23" spans="2:5">
      <c r="B23" s="70">
        <v>10</v>
      </c>
      <c r="C23" s="49">
        <v>5402898</v>
      </c>
      <c r="D23" s="50">
        <v>1912491</v>
      </c>
      <c r="E23" s="46">
        <v>0.22620000000000001</v>
      </c>
    </row>
    <row r="24" spans="2:5">
      <c r="B24" s="70">
        <v>7</v>
      </c>
      <c r="C24" s="50">
        <v>1138461</v>
      </c>
      <c r="D24" s="50">
        <v>2630108</v>
      </c>
      <c r="E24" s="46">
        <v>0.26</v>
      </c>
    </row>
    <row r="25" spans="2:5">
      <c r="B25" s="70">
        <v>5</v>
      </c>
      <c r="C25" s="50">
        <v>732612</v>
      </c>
      <c r="D25" s="50">
        <v>1295483</v>
      </c>
      <c r="E25" s="46">
        <v>0.2487</v>
      </c>
    </row>
    <row r="26" spans="2:5">
      <c r="B26" s="70">
        <v>3</v>
      </c>
      <c r="C26" s="50">
        <v>397200</v>
      </c>
      <c r="D26" s="50">
        <v>552526</v>
      </c>
      <c r="E26" s="46">
        <v>0.2387</v>
      </c>
    </row>
    <row r="27" spans="2:5">
      <c r="B27" s="70">
        <v>2</v>
      </c>
      <c r="C27" s="50">
        <v>252000</v>
      </c>
      <c r="D27" s="50">
        <v>293888</v>
      </c>
      <c r="E27" s="46">
        <v>0.1661</v>
      </c>
    </row>
    <row r="28" spans="2:5">
      <c r="B28" s="70">
        <v>1</v>
      </c>
      <c r="C28" s="50">
        <v>120000</v>
      </c>
      <c r="D28" s="50">
        <v>129463</v>
      </c>
      <c r="E28" s="46">
        <v>0.1772</v>
      </c>
    </row>
    <row r="37" spans="2:18">
      <c r="L37" s="96" t="s">
        <v>163</v>
      </c>
    </row>
    <row r="38" spans="2:18">
      <c r="B38" s="45" t="s">
        <v>144</v>
      </c>
      <c r="C38" s="45" t="s">
        <v>145</v>
      </c>
      <c r="D38" s="45" t="s">
        <v>146</v>
      </c>
      <c r="E38" s="45" t="s">
        <v>159</v>
      </c>
      <c r="F38" s="45" t="s">
        <v>160</v>
      </c>
      <c r="G38" s="88" t="s">
        <v>164</v>
      </c>
      <c r="H38" s="88" t="s">
        <v>161</v>
      </c>
      <c r="I38" s="88" t="s">
        <v>162</v>
      </c>
      <c r="K38" s="45" t="s">
        <v>144</v>
      </c>
      <c r="L38" s="45" t="s">
        <v>145</v>
      </c>
      <c r="M38" s="45" t="s">
        <v>146</v>
      </c>
      <c r="N38" s="45" t="s">
        <v>159</v>
      </c>
      <c r="O38" s="45" t="s">
        <v>160</v>
      </c>
      <c r="P38" s="88" t="s">
        <v>164</v>
      </c>
      <c r="Q38" s="88" t="s">
        <v>161</v>
      </c>
      <c r="R38" s="88" t="s">
        <v>162</v>
      </c>
    </row>
    <row r="39" spans="2:18">
      <c r="B39" s="71">
        <v>1</v>
      </c>
      <c r="C39" s="71">
        <v>120000</v>
      </c>
      <c r="D39" s="91">
        <v>131167</v>
      </c>
      <c r="E39" s="90">
        <v>0.1772</v>
      </c>
      <c r="F39" s="71">
        <v>130653</v>
      </c>
      <c r="G39" s="48">
        <v>0.16889999999999999</v>
      </c>
      <c r="H39" s="89">
        <v>129356</v>
      </c>
      <c r="I39" s="92">
        <v>0.1479</v>
      </c>
      <c r="K39" s="71">
        <v>1</v>
      </c>
      <c r="L39" s="50">
        <v>120000</v>
      </c>
      <c r="M39" s="97">
        <v>131197</v>
      </c>
      <c r="N39" s="98">
        <v>0.1772</v>
      </c>
      <c r="O39" s="99">
        <v>130653</v>
      </c>
      <c r="P39" s="98">
        <v>0.16889999999999999</v>
      </c>
      <c r="Q39" s="99">
        <v>129356</v>
      </c>
      <c r="R39" s="98">
        <v>0.1479</v>
      </c>
    </row>
    <row r="40" spans="2:18">
      <c r="B40" s="71">
        <v>2</v>
      </c>
      <c r="C40" s="71">
        <v>240000</v>
      </c>
      <c r="D40" s="91">
        <v>282582</v>
      </c>
      <c r="E40" s="90">
        <v>0.1658</v>
      </c>
      <c r="F40" s="71">
        <v>275198</v>
      </c>
      <c r="G40" s="48">
        <v>0.13780000000000001</v>
      </c>
      <c r="H40" s="89">
        <v>268824</v>
      </c>
      <c r="I40" s="92">
        <v>0.1133</v>
      </c>
      <c r="K40" s="71">
        <v>2</v>
      </c>
      <c r="L40" s="50">
        <v>252000</v>
      </c>
      <c r="M40" s="97">
        <v>295699</v>
      </c>
      <c r="N40" s="98">
        <v>0.1691</v>
      </c>
      <c r="O40" s="99">
        <v>252000</v>
      </c>
      <c r="P40" s="98">
        <v>0.13850000000000001</v>
      </c>
      <c r="Q40" s="99">
        <v>281759</v>
      </c>
      <c r="R40" s="98">
        <v>0.11409999999999999</v>
      </c>
    </row>
    <row r="41" spans="2:18">
      <c r="B41" s="71">
        <v>3</v>
      </c>
      <c r="C41" s="72">
        <v>360000</v>
      </c>
      <c r="D41" s="91">
        <v>511525</v>
      </c>
      <c r="E41" s="90">
        <v>0.24210000000000001</v>
      </c>
      <c r="F41" s="71">
        <v>489965</v>
      </c>
      <c r="G41" s="51">
        <v>0.2109</v>
      </c>
      <c r="H41" s="89">
        <v>437622</v>
      </c>
      <c r="I41" s="92">
        <v>0.13109999999999999</v>
      </c>
      <c r="K41" s="71">
        <v>3</v>
      </c>
      <c r="L41" s="50">
        <v>397200</v>
      </c>
      <c r="M41" s="100">
        <v>554212</v>
      </c>
      <c r="N41" s="98">
        <v>0.2387</v>
      </c>
      <c r="O41" s="99">
        <v>531857</v>
      </c>
      <c r="P41" s="98">
        <v>0.20780000000000001</v>
      </c>
      <c r="Q41" s="99">
        <v>478733</v>
      </c>
      <c r="R41" s="98">
        <v>0.1305</v>
      </c>
    </row>
    <row r="42" spans="2:18">
      <c r="B42" s="71">
        <v>4</v>
      </c>
      <c r="C42" s="71">
        <v>480000</v>
      </c>
      <c r="D42" s="91">
        <v>774188</v>
      </c>
      <c r="E42" s="90">
        <v>0.24460000000000001</v>
      </c>
      <c r="F42" s="74">
        <v>733120</v>
      </c>
      <c r="G42" s="48">
        <v>0.2157</v>
      </c>
      <c r="H42" s="89">
        <v>480000</v>
      </c>
      <c r="I42" s="92">
        <v>0.1308</v>
      </c>
      <c r="K42" s="71">
        <v>4</v>
      </c>
      <c r="L42" s="50">
        <v>556920</v>
      </c>
      <c r="M42" s="97">
        <v>872296</v>
      </c>
      <c r="N42" s="98">
        <v>0.2427</v>
      </c>
      <c r="O42" s="99">
        <v>828197</v>
      </c>
      <c r="P42" s="98">
        <v>0.2137</v>
      </c>
      <c r="Q42" s="99">
        <v>711945</v>
      </c>
      <c r="R42" s="98">
        <v>0.1305</v>
      </c>
    </row>
    <row r="43" spans="2:18">
      <c r="B43" s="71">
        <v>5</v>
      </c>
      <c r="C43" s="73">
        <v>600000</v>
      </c>
      <c r="D43" s="91">
        <v>1113914</v>
      </c>
      <c r="E43" s="90">
        <v>0.25030000000000002</v>
      </c>
      <c r="F43" s="71">
        <v>1039102</v>
      </c>
      <c r="G43" s="48">
        <v>0.22140000000000001</v>
      </c>
      <c r="H43" s="89">
        <v>838592</v>
      </c>
      <c r="I43" s="92">
        <v>0.1336</v>
      </c>
      <c r="K43" s="71">
        <v>5</v>
      </c>
      <c r="L43" s="50">
        <v>732612</v>
      </c>
      <c r="M43" s="97">
        <v>1299251</v>
      </c>
      <c r="N43" s="98">
        <v>0.2487</v>
      </c>
      <c r="O43" s="99">
        <v>1216999</v>
      </c>
      <c r="P43" s="98">
        <v>0.21970000000000001</v>
      </c>
      <c r="Q43" s="99">
        <v>998771</v>
      </c>
      <c r="R43" s="98">
        <v>0.13320000000000001</v>
      </c>
    </row>
    <row r="44" spans="2:18">
      <c r="B44" s="71">
        <v>6</v>
      </c>
      <c r="C44" s="72">
        <v>720000</v>
      </c>
      <c r="D44" s="91">
        <v>1620970</v>
      </c>
      <c r="E44" s="90">
        <v>0.27029999999999998</v>
      </c>
      <c r="F44" s="71">
        <v>1504503</v>
      </c>
      <c r="G44" s="48">
        <v>0.245</v>
      </c>
      <c r="H44" s="89">
        <v>1130185</v>
      </c>
      <c r="I44" s="92">
        <v>0.14899999999999999</v>
      </c>
      <c r="K44" s="71">
        <v>6</v>
      </c>
      <c r="L44" s="101">
        <v>925873</v>
      </c>
      <c r="M44" s="97">
        <v>925873</v>
      </c>
      <c r="N44" s="98">
        <v>0.26719999999999999</v>
      </c>
      <c r="O44" s="99">
        <v>1804099</v>
      </c>
      <c r="P44" s="98">
        <v>0.2414</v>
      </c>
      <c r="Q44" s="99">
        <v>1390241</v>
      </c>
      <c r="R44" s="98">
        <v>0.14680000000000001</v>
      </c>
    </row>
    <row r="45" spans="2:18">
      <c r="I45" s="19"/>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Factsheet</vt:lpstr>
      <vt:lpstr>Portfolio</vt:lpstr>
      <vt:lpstr>SIP Returns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Mehreen Abdullah</dc:creator>
  <cp:lastModifiedBy>Mehreen Abdullah</cp:lastModifiedBy>
  <cp:lastPrinted>2025-10-28T09:18:39Z</cp:lastPrinted>
  <dcterms:created xsi:type="dcterms:W3CDTF">2025-10-25T17:25:45Z</dcterms:created>
  <dcterms:modified xsi:type="dcterms:W3CDTF">2026-02-25T11:12:50Z</dcterms:modified>
</cp:coreProperties>
</file>